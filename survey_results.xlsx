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tseveendorj/Desktop/"/>
    </mc:Choice>
  </mc:AlternateContent>
  <xr:revisionPtr revIDLastSave="0" documentId="13_ncr:1_{5B5FA4F8-5685-544A-89D9-2F71DCF5113F}" xr6:coauthVersionLast="47" xr6:coauthVersionMax="47" xr10:uidLastSave="{00000000-0000-0000-0000-000000000000}"/>
  <bookViews>
    <workbookView xWindow="-38400" yWindow="-1240" windowWidth="38400" windowHeight="21100" activeTab="2" xr2:uid="{00000000-000D-0000-FFFF-FFFF00000000}"/>
  </bookViews>
  <sheets>
    <sheet name="SLM-Core competencies" sheetId="2" r:id="rId1"/>
    <sheet name="Requirement" sheetId="3" r:id="rId2"/>
    <sheet name="360" sheetId="4" r:id="rId3"/>
    <sheet name="Evaluators" sheetId="5" r:id="rId4"/>
    <sheet name="Employee names " sheetId="6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4" l="1"/>
  <c r="N13" i="4"/>
  <c r="N5" i="4"/>
  <c r="N6" i="4"/>
  <c r="N7" i="4"/>
  <c r="N8" i="4"/>
  <c r="N9" i="4"/>
  <c r="N10" i="4"/>
  <c r="N11" i="4"/>
  <c r="N12" i="4"/>
  <c r="N15" i="4"/>
  <c r="N16" i="4"/>
  <c r="N17" i="4"/>
  <c r="N18" i="4"/>
  <c r="N19" i="4"/>
  <c r="M14" i="3"/>
  <c r="M10" i="3"/>
  <c r="M4" i="3"/>
  <c r="F76" i="3"/>
  <c r="G76" i="3"/>
  <c r="L16" i="3"/>
  <c r="F70" i="3"/>
  <c r="G70" i="3"/>
  <c r="L18" i="3"/>
  <c r="F64" i="3"/>
  <c r="G64" i="3"/>
  <c r="L17" i="3"/>
  <c r="F40" i="3"/>
  <c r="G40" i="3"/>
  <c r="L15" i="3"/>
  <c r="F28" i="3"/>
  <c r="G28" i="3"/>
  <c r="L14" i="3"/>
  <c r="F58" i="3"/>
  <c r="G58" i="3"/>
  <c r="L13" i="3"/>
  <c r="F46" i="3"/>
  <c r="G46" i="3"/>
  <c r="L12" i="3"/>
  <c r="F22" i="3"/>
  <c r="G22" i="3"/>
  <c r="L11" i="3"/>
  <c r="F10" i="3"/>
  <c r="G10" i="3"/>
  <c r="L10" i="3"/>
  <c r="F88" i="3"/>
  <c r="G88" i="3"/>
  <c r="L9" i="3"/>
  <c r="F82" i="3"/>
  <c r="G82" i="3"/>
  <c r="L8" i="3"/>
  <c r="F52" i="3"/>
  <c r="G52" i="3"/>
  <c r="L7" i="3"/>
  <c r="F34" i="3"/>
  <c r="G34" i="3"/>
  <c r="L6" i="3"/>
  <c r="F16" i="3"/>
  <c r="G16" i="3"/>
  <c r="L5" i="3"/>
  <c r="F4" i="3"/>
  <c r="G4" i="3"/>
  <c r="L4" i="3"/>
  <c r="E91" i="3"/>
  <c r="E90" i="3"/>
  <c r="E89" i="3"/>
  <c r="E88" i="3"/>
  <c r="E85" i="3"/>
  <c r="E84" i="3"/>
  <c r="E83" i="3"/>
  <c r="E82" i="3"/>
  <c r="E79" i="3"/>
  <c r="E78" i="3"/>
  <c r="E77" i="3"/>
  <c r="E76" i="3"/>
  <c r="E73" i="3"/>
  <c r="E72" i="3"/>
  <c r="E71" i="3"/>
  <c r="E70" i="3"/>
  <c r="E67" i="3"/>
  <c r="E66" i="3"/>
  <c r="E65" i="3"/>
  <c r="E64" i="3"/>
  <c r="E61" i="3"/>
  <c r="E60" i="3"/>
  <c r="E59" i="3"/>
  <c r="E58" i="3"/>
  <c r="E55" i="3"/>
  <c r="E54" i="3"/>
  <c r="E53" i="3"/>
  <c r="E52" i="3"/>
  <c r="E49" i="3"/>
  <c r="E48" i="3"/>
  <c r="E47" i="3"/>
  <c r="E46" i="3"/>
  <c r="E43" i="3"/>
  <c r="E42" i="3"/>
  <c r="E41" i="3"/>
  <c r="E40" i="3"/>
  <c r="E37" i="3"/>
  <c r="E36" i="3"/>
  <c r="E35" i="3"/>
  <c r="E34" i="3"/>
  <c r="E31" i="3"/>
  <c r="E30" i="3"/>
  <c r="E29" i="3"/>
  <c r="E28" i="3"/>
  <c r="E25" i="3"/>
  <c r="E24" i="3"/>
  <c r="E23" i="3"/>
  <c r="E22" i="3"/>
  <c r="E19" i="3"/>
  <c r="E18" i="3"/>
  <c r="E17" i="3"/>
  <c r="E16" i="3"/>
  <c r="E13" i="3"/>
  <c r="E12" i="3"/>
  <c r="E11" i="3"/>
  <c r="E10" i="3"/>
  <c r="E7" i="3"/>
  <c r="E6" i="3"/>
  <c r="E5" i="3"/>
  <c r="E4" i="3"/>
  <c r="H6" i="2"/>
  <c r="I6" i="2"/>
  <c r="H42" i="2"/>
  <c r="I42" i="2"/>
  <c r="BN42" i="2"/>
  <c r="BN43" i="2"/>
  <c r="BN44" i="2"/>
  <c r="BN45" i="2"/>
  <c r="BP42" i="2"/>
  <c r="BQ42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P30" i="2"/>
  <c r="BQ30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P18" i="2"/>
  <c r="BQ18" i="2"/>
  <c r="BN6" i="2"/>
  <c r="BN7" i="2"/>
  <c r="BN8" i="2"/>
  <c r="BN9" i="2"/>
  <c r="BN10" i="2"/>
  <c r="BN11" i="2"/>
  <c r="BN12" i="2"/>
  <c r="BN13" i="2"/>
  <c r="BN14" i="2"/>
  <c r="BN15" i="2"/>
  <c r="BN16" i="2"/>
  <c r="BN17" i="2"/>
  <c r="BP6" i="2"/>
  <c r="BQ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6" i="2"/>
  <c r="F47" i="2"/>
  <c r="J47" i="2"/>
  <c r="N47" i="2"/>
  <c r="R47" i="2"/>
  <c r="V47" i="2"/>
  <c r="Z47" i="2"/>
  <c r="AD47" i="2"/>
  <c r="AH47" i="2"/>
  <c r="AL47" i="2"/>
  <c r="AP47" i="2"/>
  <c r="AT47" i="2"/>
  <c r="AX47" i="2"/>
  <c r="BB47" i="2"/>
  <c r="BF47" i="2"/>
  <c r="BJ47" i="2"/>
  <c r="BN47" i="2"/>
  <c r="BN48" i="2"/>
  <c r="BF48" i="2"/>
  <c r="BJ48" i="2"/>
  <c r="BL42" i="2"/>
  <c r="BM42" i="2"/>
  <c r="BL30" i="2"/>
  <c r="BM30" i="2"/>
  <c r="BL18" i="2"/>
  <c r="BM18" i="2"/>
  <c r="BL6" i="2"/>
  <c r="BM6" i="2"/>
  <c r="BH42" i="2"/>
  <c r="BI42" i="2"/>
  <c r="BH30" i="2"/>
  <c r="BI30" i="2"/>
  <c r="BH18" i="2"/>
  <c r="BI18" i="2"/>
  <c r="BH6" i="2"/>
  <c r="BI6" i="2"/>
  <c r="BD42" i="2"/>
  <c r="BE42" i="2"/>
  <c r="BD30" i="2"/>
  <c r="BE30" i="2"/>
  <c r="BD18" i="2"/>
  <c r="BE18" i="2"/>
  <c r="BD6" i="2"/>
  <c r="BE6" i="2"/>
  <c r="AZ42" i="2"/>
  <c r="BA42" i="2"/>
  <c r="AV42" i="2"/>
  <c r="AW42" i="2"/>
  <c r="AZ30" i="2"/>
  <c r="BA30" i="2"/>
  <c r="AZ18" i="2"/>
  <c r="BA18" i="2"/>
  <c r="AZ6" i="2"/>
  <c r="BA6" i="2"/>
  <c r="AV30" i="2"/>
  <c r="AW30" i="2"/>
  <c r="AV18" i="2"/>
  <c r="AW18" i="2"/>
  <c r="AV6" i="2"/>
  <c r="AW6" i="2"/>
  <c r="AR30" i="2"/>
  <c r="AS30" i="2"/>
  <c r="AR42" i="2"/>
  <c r="AS42" i="2"/>
  <c r="AR18" i="2"/>
  <c r="AS18" i="2"/>
  <c r="AR6" i="2"/>
  <c r="AS6" i="2"/>
  <c r="AN42" i="2"/>
  <c r="AO42" i="2"/>
  <c r="AN30" i="2"/>
  <c r="AO30" i="2"/>
  <c r="AN18" i="2"/>
  <c r="AO18" i="2"/>
  <c r="AN6" i="2"/>
  <c r="AO6" i="2"/>
  <c r="AJ42" i="2"/>
  <c r="AK42" i="2"/>
  <c r="AJ30" i="2"/>
  <c r="AK30" i="2"/>
  <c r="AJ18" i="2"/>
  <c r="AK18" i="2"/>
  <c r="AJ6" i="2"/>
  <c r="AK6" i="2"/>
  <c r="AF42" i="2"/>
  <c r="AG42" i="2"/>
  <c r="AF30" i="2"/>
  <c r="AG30" i="2"/>
  <c r="AF18" i="2"/>
  <c r="AG18" i="2"/>
  <c r="AF6" i="2"/>
  <c r="AG6" i="2"/>
  <c r="AB42" i="2"/>
  <c r="AC42" i="2"/>
  <c r="AB30" i="2"/>
  <c r="AC30" i="2"/>
  <c r="AB18" i="2"/>
  <c r="AC18" i="2"/>
  <c r="AB6" i="2"/>
  <c r="AC6" i="2"/>
  <c r="X42" i="2"/>
  <c r="Y42" i="2"/>
  <c r="X30" i="2"/>
  <c r="Y30" i="2"/>
  <c r="X18" i="2"/>
  <c r="Y18" i="2"/>
  <c r="X6" i="2"/>
  <c r="Y6" i="2"/>
  <c r="T42" i="2"/>
  <c r="U42" i="2"/>
  <c r="T30" i="2"/>
  <c r="U30" i="2"/>
  <c r="T18" i="2"/>
  <c r="U18" i="2"/>
  <c r="T6" i="2"/>
  <c r="U6" i="2"/>
  <c r="P42" i="2"/>
  <c r="Q42" i="2"/>
  <c r="P30" i="2"/>
  <c r="Q30" i="2"/>
  <c r="P18" i="2"/>
  <c r="Q18" i="2"/>
  <c r="P6" i="2"/>
  <c r="Q6" i="2"/>
  <c r="L42" i="2"/>
  <c r="M42" i="2"/>
  <c r="L30" i="2"/>
  <c r="M30" i="2"/>
  <c r="L18" i="2"/>
  <c r="M18" i="2"/>
  <c r="L6" i="2"/>
  <c r="M6" i="2"/>
  <c r="H30" i="2"/>
  <c r="I30" i="2"/>
  <c r="H18" i="2"/>
  <c r="I18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6" i="2"/>
  <c r="BB48" i="2"/>
  <c r="BC6" i="2"/>
  <c r="Z48" i="2"/>
  <c r="AD48" i="2"/>
  <c r="AH48" i="2"/>
  <c r="AL48" i="2"/>
  <c r="AP48" i="2"/>
  <c r="AT48" i="2"/>
  <c r="AX48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AA8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AA11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A44" i="2"/>
  <c r="W35" i="2"/>
  <c r="K11" i="2"/>
  <c r="E47" i="2"/>
  <c r="F48" i="2"/>
  <c r="G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V48" i="2"/>
  <c r="R48" i="2"/>
  <c r="N48" i="2"/>
  <c r="J48" i="2"/>
  <c r="AA45" i="2"/>
  <c r="W45" i="2"/>
  <c r="S45" i="2"/>
  <c r="O45" i="2"/>
  <c r="K45" i="2"/>
  <c r="G45" i="2"/>
  <c r="W44" i="2"/>
  <c r="S44" i="2"/>
  <c r="O44" i="2"/>
  <c r="K44" i="2"/>
  <c r="G44" i="2"/>
  <c r="AA43" i="2"/>
  <c r="W43" i="2"/>
  <c r="S43" i="2"/>
  <c r="O43" i="2"/>
  <c r="K43" i="2"/>
  <c r="G43" i="2"/>
  <c r="AA42" i="2"/>
  <c r="W42" i="2"/>
  <c r="S42" i="2"/>
  <c r="O42" i="2"/>
  <c r="K42" i="2"/>
  <c r="G42" i="2"/>
  <c r="AA41" i="2"/>
  <c r="W41" i="2"/>
  <c r="S41" i="2"/>
  <c r="O41" i="2"/>
  <c r="K41" i="2"/>
  <c r="G41" i="2"/>
  <c r="AA40" i="2"/>
  <c r="W40" i="2"/>
  <c r="S40" i="2"/>
  <c r="O40" i="2"/>
  <c r="K40" i="2"/>
  <c r="G40" i="2"/>
  <c r="AA39" i="2"/>
  <c r="W39" i="2"/>
  <c r="S39" i="2"/>
  <c r="O39" i="2"/>
  <c r="K39" i="2"/>
  <c r="G39" i="2"/>
  <c r="AA38" i="2"/>
  <c r="W38" i="2"/>
  <c r="S38" i="2"/>
  <c r="O38" i="2"/>
  <c r="K38" i="2"/>
  <c r="G38" i="2"/>
  <c r="AA37" i="2"/>
  <c r="W37" i="2"/>
  <c r="S37" i="2"/>
  <c r="O37" i="2"/>
  <c r="K37" i="2"/>
  <c r="G37" i="2"/>
  <c r="AA36" i="2"/>
  <c r="W36" i="2"/>
  <c r="S36" i="2"/>
  <c r="O36" i="2"/>
  <c r="K36" i="2"/>
  <c r="G36" i="2"/>
  <c r="AA35" i="2"/>
  <c r="S35" i="2"/>
  <c r="O35" i="2"/>
  <c r="K35" i="2"/>
  <c r="G35" i="2"/>
  <c r="AA34" i="2"/>
  <c r="W34" i="2"/>
  <c r="S34" i="2"/>
  <c r="O34" i="2"/>
  <c r="K34" i="2"/>
  <c r="G34" i="2"/>
  <c r="AA33" i="2"/>
  <c r="W33" i="2"/>
  <c r="S33" i="2"/>
  <c r="O33" i="2"/>
  <c r="K33" i="2"/>
  <c r="G33" i="2"/>
  <c r="AA32" i="2"/>
  <c r="W32" i="2"/>
  <c r="S32" i="2"/>
  <c r="O32" i="2"/>
  <c r="K32" i="2"/>
  <c r="G32" i="2"/>
  <c r="AA31" i="2"/>
  <c r="W31" i="2"/>
  <c r="S31" i="2"/>
  <c r="O31" i="2"/>
  <c r="K31" i="2"/>
  <c r="G31" i="2"/>
  <c r="AA30" i="2"/>
  <c r="W30" i="2"/>
  <c r="S30" i="2"/>
  <c r="O30" i="2"/>
  <c r="K30" i="2"/>
  <c r="G30" i="2"/>
  <c r="AA29" i="2"/>
  <c r="W29" i="2"/>
  <c r="S29" i="2"/>
  <c r="O29" i="2"/>
  <c r="K29" i="2"/>
  <c r="G29" i="2"/>
  <c r="AA28" i="2"/>
  <c r="W28" i="2"/>
  <c r="S28" i="2"/>
  <c r="O28" i="2"/>
  <c r="K28" i="2"/>
  <c r="G28" i="2"/>
  <c r="AA27" i="2"/>
  <c r="W27" i="2"/>
  <c r="S27" i="2"/>
  <c r="O27" i="2"/>
  <c r="K27" i="2"/>
  <c r="G27" i="2"/>
  <c r="AA26" i="2"/>
  <c r="W26" i="2"/>
  <c r="S26" i="2"/>
  <c r="O26" i="2"/>
  <c r="K26" i="2"/>
  <c r="G26" i="2"/>
  <c r="AA25" i="2"/>
  <c r="W25" i="2"/>
  <c r="S25" i="2"/>
  <c r="O25" i="2"/>
  <c r="K25" i="2"/>
  <c r="G25" i="2"/>
  <c r="AA24" i="2"/>
  <c r="W24" i="2"/>
  <c r="S24" i="2"/>
  <c r="O24" i="2"/>
  <c r="K24" i="2"/>
  <c r="G24" i="2"/>
  <c r="AA23" i="2"/>
  <c r="S23" i="2"/>
  <c r="O23" i="2"/>
  <c r="K23" i="2"/>
  <c r="G23" i="2"/>
  <c r="AA22" i="2"/>
  <c r="S22" i="2"/>
  <c r="O22" i="2"/>
  <c r="K22" i="2"/>
  <c r="G22" i="2"/>
  <c r="AA21" i="2"/>
  <c r="S21" i="2"/>
  <c r="O21" i="2"/>
  <c r="K21" i="2"/>
  <c r="G21" i="2"/>
  <c r="AA20" i="2"/>
  <c r="S20" i="2"/>
  <c r="O20" i="2"/>
  <c r="K20" i="2"/>
  <c r="G20" i="2"/>
  <c r="AA19" i="2"/>
  <c r="S19" i="2"/>
  <c r="O19" i="2"/>
  <c r="K19" i="2"/>
  <c r="G19" i="2"/>
  <c r="AA18" i="2"/>
  <c r="S18" i="2"/>
  <c r="O18" i="2"/>
  <c r="K18" i="2"/>
  <c r="G18" i="2"/>
  <c r="AA17" i="2"/>
  <c r="S17" i="2"/>
  <c r="O17" i="2"/>
  <c r="K17" i="2"/>
  <c r="G17" i="2"/>
  <c r="AA16" i="2"/>
  <c r="S16" i="2"/>
  <c r="O16" i="2"/>
  <c r="K16" i="2"/>
  <c r="G16" i="2"/>
  <c r="AA15" i="2"/>
  <c r="S15" i="2"/>
  <c r="O15" i="2"/>
  <c r="K15" i="2"/>
  <c r="G15" i="2"/>
  <c r="AA14" i="2"/>
  <c r="S14" i="2"/>
  <c r="O14" i="2"/>
  <c r="K14" i="2"/>
  <c r="G14" i="2"/>
  <c r="AA13" i="2"/>
  <c r="S13" i="2"/>
  <c r="O13" i="2"/>
  <c r="K13" i="2"/>
  <c r="G13" i="2"/>
  <c r="AA12" i="2"/>
  <c r="S12" i="2"/>
  <c r="O12" i="2"/>
  <c r="K12" i="2"/>
  <c r="G12" i="2"/>
  <c r="S11" i="2"/>
  <c r="O11" i="2"/>
  <c r="G11" i="2"/>
  <c r="AA10" i="2"/>
  <c r="S10" i="2"/>
  <c r="O10" i="2"/>
  <c r="K10" i="2"/>
  <c r="G10" i="2"/>
  <c r="AA9" i="2"/>
  <c r="S9" i="2"/>
  <c r="O9" i="2"/>
  <c r="K9" i="2"/>
  <c r="G9" i="2"/>
  <c r="S8" i="2"/>
  <c r="O8" i="2"/>
  <c r="K8" i="2"/>
  <c r="G8" i="2"/>
  <c r="AA7" i="2"/>
  <c r="S7" i="2"/>
  <c r="O7" i="2"/>
  <c r="K7" i="2"/>
  <c r="G7" i="2"/>
  <c r="AA6" i="2"/>
  <c r="W6" i="2"/>
  <c r="S6" i="2"/>
  <c r="O6" i="2"/>
  <c r="K6" i="2"/>
</calcChain>
</file>

<file path=xl/sharedStrings.xml><?xml version="1.0" encoding="utf-8"?>
<sst xmlns="http://schemas.openxmlformats.org/spreadsheetml/2006/main" count="611" uniqueCount="261">
  <si>
    <t>Функц</t>
  </si>
  <si>
    <t xml:space="preserve">Үндсэн </t>
  </si>
  <si>
    <t>чиглэл</t>
  </si>
  <si>
    <t xml:space="preserve">Шалгуур </t>
  </si>
  <si>
    <t>үзүүлэлтүүд</t>
  </si>
  <si>
    <t>Бизнесийн тухай ойлголт</t>
  </si>
  <si>
    <t>Бизнес модел, процессийн ойлголт</t>
  </si>
  <si>
    <t>Бизнесийн ёс зүйг баримтлах</t>
  </si>
  <si>
    <t>Компанийн дүрэм журмыг мөрдөх</t>
  </si>
  <si>
    <t>Асуудал шийдвэрлэх чадвар</t>
  </si>
  <si>
    <t>Том зургаар харах</t>
  </si>
  <si>
    <t>Шийдвэр гаргах</t>
  </si>
  <si>
    <t>Асуудал шийдвэрлэх</t>
  </si>
  <si>
    <t>MMS-г Тогтвортой хөгжүүлэх</t>
  </si>
  <si>
    <t>Шинийг санаачлах</t>
  </si>
  <si>
    <t>Дасан зохицох</t>
  </si>
  <si>
    <t>Тасралтгүй сайжруулах</t>
  </si>
  <si>
    <t>Идэвхтэй суралцах</t>
  </si>
  <si>
    <t>Өөрийгөө удирдах</t>
  </si>
  <si>
    <t>Сэтгэл хөдлөлөө удирдах</t>
  </si>
  <si>
    <t>Хувийн зохион байгуулалт</t>
  </si>
  <si>
    <t>Стресс менежмент</t>
  </si>
  <si>
    <t>Хариуцлага хүлээх чадвар</t>
  </si>
  <si>
    <t>Эрх үүрэг, хариуцлагыг тодорхойлох</t>
  </si>
  <si>
    <t>Багаар ажиллах</t>
  </si>
  <si>
    <t>Удирдан зохион байгуулах</t>
  </si>
  <si>
    <t>Багаа үр дүнтэй ажиллуулах</t>
  </si>
  <si>
    <t>Манлайлах</t>
  </si>
  <si>
    <t>Мэдээлэл дамжуулах, солилцох</t>
  </si>
  <si>
    <t>Бусдыг манлайлан, чиглүүлэх</t>
  </si>
  <si>
    <t>Мэдлэг, туршлагаа хуваалцах</t>
  </si>
  <si>
    <t>Бусдад нөлөөлөх</t>
  </si>
  <si>
    <t>Харилцаа, хандлага</t>
  </si>
  <si>
    <t>Эерэг хандлага</t>
  </si>
  <si>
    <t>Нээлттэй сэтгэлгээ</t>
  </si>
  <si>
    <t>Нээлттэй байдал</t>
  </si>
  <si>
    <t>Бусдын оронд өөрийгөө тавьж үзэх</t>
  </si>
  <si>
    <t>Харилцагчийн үйлчилгээ</t>
  </si>
  <si>
    <t>Дотоод харилцагчийн үйлчилгээ</t>
  </si>
  <si>
    <t>Холбоо харилцаа тогтоох чадвар</t>
  </si>
  <si>
    <t>Гадаад харилцагчийн үйлчилгээ</t>
  </si>
  <si>
    <t>Хэлэлцээр хийх</t>
  </si>
  <si>
    <t>Үр дүнтэй харилцаа</t>
  </si>
  <si>
    <t>Сонсох</t>
  </si>
  <si>
    <t>Илэрхийлэх, илтгэх</t>
  </si>
  <si>
    <t>Бичгээр илэрхийлэх</t>
  </si>
  <si>
    <t>Биеийн хэлэмж</t>
  </si>
  <si>
    <t>Үндсэн ажлаа гүйцэтгэх чадвар</t>
  </si>
  <si>
    <t>Шаардлагатай бусад ур чадварууд</t>
  </si>
  <si>
    <t>Ажлын холбогдолтой программ хангамж ашиглах чадвар</t>
  </si>
  <si>
    <t>Ажлын холбогдолтой тоног төхөөрөмж ашиглах чадвар</t>
  </si>
  <si>
    <t>Ажил үүргийн хүрээнд шаардлагатай гадаад хэлний мэдлэг</t>
  </si>
  <si>
    <t>BA-1</t>
  </si>
  <si>
    <t>BA-2</t>
  </si>
  <si>
    <t>BA-3</t>
  </si>
  <si>
    <t>BA-4</t>
  </si>
  <si>
    <t>BA-5</t>
  </si>
  <si>
    <t>BA-6</t>
  </si>
  <si>
    <t>BA-7</t>
  </si>
  <si>
    <t>BA-8</t>
  </si>
  <si>
    <t>BA-9</t>
  </si>
  <si>
    <t>BA-10</t>
  </si>
  <si>
    <t>BA-11</t>
  </si>
  <si>
    <t>BA-12</t>
  </si>
  <si>
    <t>L-1</t>
  </si>
  <si>
    <t>Бусдыг удирдах</t>
  </si>
  <si>
    <t>L-2</t>
  </si>
  <si>
    <t>L-3</t>
  </si>
  <si>
    <t>L-4</t>
  </si>
  <si>
    <t>L-5</t>
  </si>
  <si>
    <t>L-6</t>
  </si>
  <si>
    <t>L-7</t>
  </si>
  <si>
    <t>L-8</t>
  </si>
  <si>
    <t>L-9</t>
  </si>
  <si>
    <t>L-10</t>
  </si>
  <si>
    <t>L-11</t>
  </si>
  <si>
    <t>L-12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</si>
  <si>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</si>
  <si>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</si>
  <si>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</si>
  <si>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</si>
  <si>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</si>
  <si>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</si>
  <si>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</si>
  <si>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</si>
  <si>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</si>
  <si>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</si>
  <si>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</si>
  <si>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</si>
  <si>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T-1</t>
  </si>
  <si>
    <t>T-2</t>
  </si>
  <si>
    <t>T-3</t>
  </si>
  <si>
    <t>T-4</t>
  </si>
  <si>
    <t>BUSINESS 
ACUMEN</t>
  </si>
  <si>
    <t>УДИРДАХ
ЧАДВАР</t>
  </si>
  <si>
    <t>ХАРИЛЦАА, ХАНДЛАГА</t>
  </si>
  <si>
    <t>ТЕХНИКИЙН УР ЧАДВАР</t>
  </si>
  <si>
    <t>Авах боломжит хамгийн дээд оноо</t>
  </si>
  <si>
    <t xml:space="preserve">Нийт оноо </t>
  </si>
  <si>
    <t>Хувь</t>
  </si>
  <si>
    <t>Менежерүүдийн ур чадварын дундаж
 шалгуур үзүүлэлт</t>
  </si>
  <si>
    <t>АБТ заагдсан үндсэн чиг үүргүүдийг гүйцэтгэх чадвар</t>
  </si>
  <si>
    <t>s</t>
  </si>
  <si>
    <t>Худалдааны мэргэжилтэн</t>
  </si>
  <si>
    <t>Худалдааны ахлах ажилтан</t>
  </si>
  <si>
    <t>Худалдааны инженер</t>
  </si>
  <si>
    <t>Худалдааны ахлах инженер</t>
  </si>
  <si>
    <t>Худалдааны менежер</t>
  </si>
  <si>
    <t>Маркетингийн ажилтан</t>
  </si>
  <si>
    <t>Маркетингийн менежер</t>
  </si>
  <si>
    <t>Ахлах график дизайнер</t>
  </si>
  <si>
    <t>Хяналтын ажилтан</t>
  </si>
  <si>
    <t>Хяналтын ахлах ажилтан</t>
  </si>
  <si>
    <t>Ерөнхий менежер</t>
  </si>
  <si>
    <t>Ерөнхий инженер</t>
  </si>
  <si>
    <t>Инженер, техникийн менежер</t>
  </si>
  <si>
    <t>Сервис инженер</t>
  </si>
  <si>
    <t>Цахилгаанчин</t>
  </si>
  <si>
    <t>Хамтран ажиллах /Other deps</t>
  </si>
  <si>
    <t>Business Acumen</t>
  </si>
  <si>
    <t>Удирдах чадвар</t>
  </si>
  <si>
    <t>Харилцаа, Хандлага</t>
  </si>
  <si>
    <t>Техникийн ур чадвар</t>
  </si>
  <si>
    <t>Ур чадварын багц</t>
  </si>
  <si>
    <t>Шалгуур оноо</t>
  </si>
  <si>
    <t>Шалгуур хувь</t>
  </si>
  <si>
    <t>Нийт шалгуур оноо</t>
  </si>
  <si>
    <t>Нийт шалгуур хувь</t>
  </si>
  <si>
    <t>Хяналтын 
ажилтан</t>
  </si>
  <si>
    <t>Ерөнхий 
менежер</t>
  </si>
  <si>
    <t>Ерөнхий 
инженер</t>
  </si>
  <si>
    <t>Сервис 
инженер</t>
  </si>
  <si>
    <t>Албан тушаал</t>
  </si>
  <si>
    <t>LVL</t>
  </si>
  <si>
    <t>N</t>
  </si>
  <si>
    <t>M1</t>
  </si>
  <si>
    <t>M2</t>
  </si>
  <si>
    <t>S3</t>
  </si>
  <si>
    <t>O2</t>
  </si>
  <si>
    <t>O1</t>
  </si>
  <si>
    <t>Захирал</t>
  </si>
  <si>
    <t>Ахлах ажилтан</t>
  </si>
  <si>
    <t>Шууд удирдлага дах ажилтнууд</t>
  </si>
  <si>
    <t xml:space="preserve">Хамт олон </t>
  </si>
  <si>
    <t>Бусад хэлтэс</t>
  </si>
  <si>
    <t>Ажилтны өөрийн үнэлгээ</t>
  </si>
  <si>
    <t>Менежер (M2)</t>
  </si>
  <si>
    <t>Менежер (M1)</t>
  </si>
  <si>
    <t>Нэр</t>
  </si>
  <si>
    <t>Бусад хэлтэс нэгж</t>
  </si>
  <si>
    <t>Шууд удирдлага</t>
  </si>
  <si>
    <t>Хамт олон</t>
  </si>
  <si>
    <t>Шууд удирдлага доорх</t>
  </si>
  <si>
    <t>Захирал/Шууд бус удирдлага</t>
  </si>
  <si>
    <t>Сэргэлэн</t>
  </si>
  <si>
    <t>Б.Батболд</t>
  </si>
  <si>
    <t>Бүгд</t>
  </si>
  <si>
    <t>Часам</t>
  </si>
  <si>
    <t>Мөнх-Эрдэнэ</t>
  </si>
  <si>
    <t>Номин-Эрдэнэ</t>
  </si>
  <si>
    <t>Э.Золзаяа</t>
  </si>
  <si>
    <t>Баярцэнгэл</t>
  </si>
  <si>
    <t>Гэрэл</t>
  </si>
  <si>
    <t>Ё.Тэнгэрболд</t>
  </si>
  <si>
    <t>Золбооням</t>
  </si>
  <si>
    <t>Чингүнжав</t>
  </si>
  <si>
    <t>Солонго, Дарь</t>
  </si>
  <si>
    <t>Солонго</t>
  </si>
  <si>
    <t>Г.Чингүнжав</t>
  </si>
  <si>
    <t>Дарь</t>
  </si>
  <si>
    <t>Батболд</t>
  </si>
  <si>
    <t>Тэнгэрболд</t>
  </si>
  <si>
    <t>Золзаяа</t>
  </si>
  <si>
    <t>Рэнчиннямбуу</t>
  </si>
  <si>
    <t>Тамир</t>
  </si>
  <si>
    <t>Дуламжав, Отгонтуяа</t>
  </si>
  <si>
    <t>Хулан</t>
  </si>
  <si>
    <t>Дуламжав, Отгонтуяа, Оргил, Сэлэнгэ, Анхмаа</t>
  </si>
  <si>
    <t>Уянга</t>
  </si>
  <si>
    <t>Дуламжав, Мөнхдэлгэр, Отгонтуяа</t>
  </si>
  <si>
    <t>Содгэрэл</t>
  </si>
  <si>
    <t>Чингүнжав, Гэрэл, Уянга, Золзаяа, Тамир, Рэнчиннямбуу, Содгэрэл</t>
  </si>
  <si>
    <t>Номин-Эрдэнэ, Хулан, Содгэрэл, Сэргэлэн</t>
  </si>
  <si>
    <t>Сэргэлэн, Часам
Анхмаа, Сэлэнгэ</t>
  </si>
  <si>
    <t>Отгонтуяа, Эрдэнэчимэг, Болорчулуун, Дуламжав, Мөнхдэлгэр</t>
  </si>
  <si>
    <t>Рэгзийбүү, Ариунболд, Отгонтуяа, Эрдэнэчимэг, Дуламжав, Мөнхдэлгэр</t>
  </si>
  <si>
    <t>Отгонтуяа, Эрдэнэчимэг, Болорчулуун, Намсрай, Дуламжав, Мөнхдэлгэр</t>
  </si>
  <si>
    <t>Б.Эрдэнэчимэг, Бадралсайхан, Мандариваа, Отгонтуяа, Есү, Тэмүүлэн</t>
  </si>
  <si>
    <t>Тэмүүлэн, Есү, Уянгаа, Б.Гантулга</t>
  </si>
  <si>
    <t>Бадралсайхан, Энхтайван, Эрдэнэбаяр, Билгүүн, Б.Гантулга, Уянгаа</t>
  </si>
  <si>
    <t>Дуламжав, Enkhmunkh</t>
  </si>
  <si>
    <t>Бадмаанямбуу, Лодойсамбуу, Ж.Эрдэнэчимэг, Мөнхдэлгэр, Дуламжав</t>
  </si>
  <si>
    <t>Бадмаанямбуу, Лодойсамбуу, Ж.Эрдэнэчимэг, Отгонтуяа, Болорчулуун, Мөнхдэлгэр, Дуламжав, Оргил</t>
  </si>
  <si>
    <t>Б.Гантулга, Батбаатар
Батмөнх, Бадмаанямбуу, Энхмөнх, Отгонтуяа, Мөнхдэлгэр, Ж.Эрдэнэчимэг, Болорчулуун</t>
  </si>
  <si>
    <t xml:space="preserve"> </t>
  </si>
  <si>
    <t>Код</t>
  </si>
  <si>
    <t>Овог</t>
  </si>
  <si>
    <t>Эцэг/эх/-ийн нэр</t>
  </si>
  <si>
    <t>Байгууллагын нэгжийн нэр</t>
  </si>
  <si>
    <t>Ажлын байрны нэр</t>
  </si>
  <si>
    <t>Ажлын байрны төрөл</t>
  </si>
  <si>
    <t>Зэргийн нэр</t>
  </si>
  <si>
    <t>Дэвийн нэр</t>
  </si>
  <si>
    <t>1017</t>
  </si>
  <si>
    <t>Хэрсэн</t>
  </si>
  <si>
    <t>Мэндбаяр</t>
  </si>
  <si>
    <t>Худалдаа, Маркетингийн хэлтэс</t>
  </si>
  <si>
    <t>Үндсэн</t>
  </si>
  <si>
    <t>Менежерүүд</t>
  </si>
  <si>
    <t>Менежер</t>
  </si>
  <si>
    <t>1018</t>
  </si>
  <si>
    <t>Огсого</t>
  </si>
  <si>
    <t>Цэнд</t>
  </si>
  <si>
    <t>Ахлах мэргэжилтэн, инженер, ахлах ажилтан</t>
  </si>
  <si>
    <t>1022</t>
  </si>
  <si>
    <t>Тайж нар</t>
  </si>
  <si>
    <t>Түдэвдагва</t>
  </si>
  <si>
    <t>Маркетингийн алба</t>
  </si>
  <si>
    <t>1016</t>
  </si>
  <si>
    <t>Цувдагууд</t>
  </si>
  <si>
    <t>Батсайхан</t>
  </si>
  <si>
    <t>1021</t>
  </si>
  <si>
    <t>Жаргалант</t>
  </si>
  <si>
    <t>Ёндонжамц</t>
  </si>
  <si>
    <t>Ахлах менежер</t>
  </si>
  <si>
    <t>1004</t>
  </si>
  <si>
    <t>Боржигон</t>
  </si>
  <si>
    <t>Батмөнх</t>
  </si>
  <si>
    <t>1006</t>
  </si>
  <si>
    <t>Ёгос</t>
  </si>
  <si>
    <t>Энхбат</t>
  </si>
  <si>
    <t>1008</t>
  </si>
  <si>
    <t>Ганболд</t>
  </si>
  <si>
    <t>1035</t>
  </si>
  <si>
    <t>Хотгойд</t>
  </si>
  <si>
    <t>Ганбаатар</t>
  </si>
  <si>
    <t>1039</t>
  </si>
  <si>
    <t>Гоо-сүү</t>
  </si>
  <si>
    <t>Батцэнгэл</t>
  </si>
  <si>
    <t>1063</t>
  </si>
  <si>
    <t>Чонос</t>
  </si>
  <si>
    <t>Баасандорж</t>
  </si>
  <si>
    <t>Мэргэжилтэн, Мэргэжилтэй ажилтан, ажилтан</t>
  </si>
  <si>
    <t>Мэргэжилтэн</t>
  </si>
  <si>
    <t>1074</t>
  </si>
  <si>
    <t>Хилчин</t>
  </si>
  <si>
    <t>Батбилэг</t>
  </si>
  <si>
    <t>1084</t>
  </si>
  <si>
    <t>Хольдог</t>
  </si>
  <si>
    <t>Отгонбаяр</t>
  </si>
  <si>
    <t>1082</t>
  </si>
  <si>
    <t>Алтанхуяг</t>
  </si>
  <si>
    <t>1081</t>
  </si>
  <si>
    <t>Энхтуяа</t>
  </si>
  <si>
    <t>1083</t>
  </si>
  <si>
    <t>Монгол</t>
  </si>
  <si>
    <t>Батмагнай</t>
  </si>
  <si>
    <t>1086</t>
  </si>
  <si>
    <t>Сартуул</t>
  </si>
  <si>
    <t>Түвдэндорж</t>
  </si>
  <si>
    <t>Мэргэжилтэй ажилтан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</si>
</sst>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1"/>
      <color rgb="FF000000"/>
      <name val="Rubik Light"/>
    </font>
    <font>
      <sz val="11"/>
      <color theme="1"/>
      <name val="Rubik Light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i/>
      <sz val="11"/>
      <color theme="0" tint="-0.249977111117893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8"/>
      <color rgb="FF00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696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5D90B"/>
        <bgColor indexed="64"/>
      </patternFill>
    </fill>
    <fill>
      <patternFill patternType="solid">
        <fgColor rgb="FFFFD675"/>
        <bgColor indexed="64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53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34998626667073579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right" vertical="center" wrapText="1" indent="2"/>
    </xf>
    <xf numFmtId="0" fontId="2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 wrapText="1" indent="2"/>
    </xf>
    <xf numFmtId="9" fontId="2" fillId="0" borderId="11" xfId="0" applyNumberFormat="1" applyFont="1" applyBorder="1" applyAlignment="1">
      <alignment horizontal="center" vertical="center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6" xfId="0" applyFont="1" applyBorder="1"/>
    <xf numFmtId="9" fontId="6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left" vertical="center" indent="1"/>
    </xf>
    <xf numFmtId="0" fontId="4" fillId="4" borderId="16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9" fontId="4" fillId="0" borderId="16" xfId="1" applyFont="1" applyBorder="1"/>
    <xf numFmtId="9" fontId="4" fillId="12" borderId="16" xfId="1" applyFont="1" applyFill="1" applyBorder="1" applyAlignment="1">
      <alignment horizontal="center" vertical="center"/>
    </xf>
    <xf numFmtId="0" fontId="8" fillId="0" borderId="16" xfId="0" applyFont="1" applyBorder="1"/>
    <xf numFmtId="9" fontId="8" fillId="13" borderId="16" xfId="0" applyNumberFormat="1" applyFont="1" applyFill="1" applyBorder="1"/>
    <xf numFmtId="164" fontId="4" fillId="0" borderId="16" xfId="0" applyNumberFormat="1" applyFont="1" applyBorder="1" applyAlignment="1">
      <alignment horizontal="center"/>
    </xf>
    <xf numFmtId="9" fontId="4" fillId="0" borderId="16" xfId="1" applyFont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 indent="1"/>
    </xf>
    <xf numFmtId="0" fontId="8" fillId="12" borderId="2" xfId="0" applyFont="1" applyFill="1" applyBorder="1" applyAlignment="1">
      <alignment horizontal="left" vertical="center" indent="1"/>
    </xf>
    <xf numFmtId="0" fontId="8" fillId="6" borderId="11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left" vertical="center" wrapText="1" inden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left" vertical="center" inden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5" fillId="15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49" fontId="7" fillId="18" borderId="39" xfId="0" applyNumberFormat="1" applyFont="1" applyFill="1" applyBorder="1" applyAlignment="1">
      <alignment horizontal="left" vertical="center" readingOrder="1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horizontal="center" wrapText="1"/>
    </xf>
    <xf numFmtId="0" fontId="4" fillId="0" borderId="39" xfId="0" applyFont="1" applyBorder="1" applyAlignment="1">
      <alignment wrapText="1"/>
    </xf>
    <xf numFmtId="0" fontId="4" fillId="14" borderId="39" xfId="0" applyFont="1" applyFill="1" applyBorder="1" applyAlignment="1">
      <alignment horizontal="center" vertical="center"/>
    </xf>
    <xf numFmtId="9" fontId="4" fillId="0" borderId="39" xfId="0" applyNumberFormat="1" applyFont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6" borderId="39" xfId="0" applyFont="1" applyFill="1" applyBorder="1" applyAlignment="1">
      <alignment horizontal="center" vertical="center"/>
    </xf>
    <xf numFmtId="0" fontId="5" fillId="15" borderId="39" xfId="0" applyFont="1" applyFill="1" applyBorder="1" applyAlignment="1">
      <alignment horizontal="center"/>
    </xf>
    <xf numFmtId="0" fontId="5" fillId="15" borderId="39" xfId="0" applyFont="1" applyFill="1" applyBorder="1"/>
    <xf numFmtId="9" fontId="4" fillId="0" borderId="39" xfId="1" applyFont="1" applyBorder="1" applyAlignment="1">
      <alignment horizontal="center" vertical="center"/>
    </xf>
    <xf numFmtId="0" fontId="4" fillId="0" borderId="39" xfId="0" applyFont="1" applyBorder="1" applyAlignment="1">
      <alignment horizontal="left" indent="1"/>
    </xf>
    <xf numFmtId="9" fontId="4" fillId="0" borderId="39" xfId="0" applyNumberFormat="1" applyFont="1" applyBorder="1" applyAlignment="1">
      <alignment horizontal="center"/>
    </xf>
    <xf numFmtId="0" fontId="4" fillId="0" borderId="39" xfId="0" applyFont="1" applyBorder="1" applyAlignment="1">
      <alignment horizontal="left" wrapText="1" indent="1"/>
    </xf>
    <xf numFmtId="0" fontId="4" fillId="8" borderId="39" xfId="0" applyFont="1" applyFill="1" applyBorder="1" applyAlignment="1">
      <alignment horizontal="left" indent="1"/>
    </xf>
    <xf numFmtId="0" fontId="4" fillId="3" borderId="39" xfId="0" applyFont="1" applyFill="1" applyBorder="1" applyAlignment="1">
      <alignment horizontal="left" indent="1"/>
    </xf>
    <xf numFmtId="0" fontId="4" fillId="6" borderId="39" xfId="0" applyFont="1" applyFill="1" applyBorder="1" applyAlignment="1">
      <alignment horizontal="left" vertical="center" indent="1"/>
    </xf>
    <xf numFmtId="0" fontId="5" fillId="15" borderId="40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5" fillId="15" borderId="41" xfId="0" applyFont="1" applyFill="1" applyBorder="1" applyAlignment="1">
      <alignment horizontal="center" vertical="center" wrapText="1"/>
    </xf>
    <xf numFmtId="9" fontId="4" fillId="0" borderId="42" xfId="0" applyNumberFormat="1" applyFont="1" applyBorder="1" applyAlignment="1">
      <alignment horizontal="center" vertical="center"/>
    </xf>
    <xf numFmtId="9" fontId="4" fillId="0" borderId="43" xfId="0" applyNumberFormat="1" applyFont="1" applyBorder="1" applyAlignment="1">
      <alignment horizontal="center" vertical="center"/>
    </xf>
    <xf numFmtId="0" fontId="5" fillId="15" borderId="44" xfId="0" applyFont="1" applyFill="1" applyBorder="1" applyAlignment="1">
      <alignment horizontal="center" vertical="center" wrapText="1"/>
    </xf>
    <xf numFmtId="0" fontId="5" fillId="15" borderId="45" xfId="0" applyFont="1" applyFill="1" applyBorder="1" applyAlignment="1">
      <alignment horizontal="center" vertical="center" wrapText="1"/>
    </xf>
    <xf numFmtId="0" fontId="5" fillId="15" borderId="46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9" xfId="0" applyNumberFormat="1" applyFont="1" applyBorder="1" applyAlignment="1">
      <alignment horizontal="center" vertical="center"/>
    </xf>
    <xf numFmtId="9" fontId="4" fillId="0" borderId="50" xfId="0" applyNumberFormat="1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5" fillId="15" borderId="44" xfId="0" applyFont="1" applyFill="1" applyBorder="1" applyAlignment="1">
      <alignment horizontal="center"/>
    </xf>
    <xf numFmtId="0" fontId="5" fillId="15" borderId="45" xfId="0" applyFont="1" applyFill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0" xfId="0" applyFont="1" applyBorder="1" applyAlignment="1">
      <alignment horizontal="left" indent="1"/>
    </xf>
    <xf numFmtId="9" fontId="4" fillId="0" borderId="50" xfId="0" applyNumberFormat="1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5" xfId="0" applyFont="1" applyBorder="1" applyAlignment="1">
      <alignment horizontal="left" indent="1"/>
    </xf>
    <xf numFmtId="9" fontId="4" fillId="0" borderId="45" xfId="0" applyNumberFormat="1" applyFont="1" applyBorder="1" applyAlignment="1">
      <alignment horizontal="center"/>
    </xf>
    <xf numFmtId="49" fontId="9" fillId="19" borderId="52" xfId="0" applyNumberFormat="1" applyFont="1" applyFill="1" applyBorder="1" applyAlignment="1">
      <alignment horizontal="center" vertical="center" readingOrder="1"/>
    </xf>
    <xf numFmtId="49" fontId="9" fillId="18" borderId="52" xfId="0" applyNumberFormat="1" applyFont="1" applyFill="1" applyBorder="1" applyAlignment="1">
      <alignment horizontal="left" vertical="center" readingOrder="1"/>
    </xf>
    <xf numFmtId="9" fontId="2" fillId="0" borderId="15" xfId="1" applyFont="1" applyBorder="1" applyAlignment="1">
      <alignment horizontal="center"/>
    </xf>
    <xf numFmtId="9" fontId="2" fillId="0" borderId="29" xfId="1" applyFont="1" applyBorder="1" applyAlignment="1">
      <alignment horizontal="center"/>
    </xf>
    <xf numFmtId="9" fontId="2" fillId="0" borderId="30" xfId="1" applyFont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2" fillId="8" borderId="35" xfId="0" applyFont="1" applyFill="1" applyBorder="1" applyAlignment="1">
      <alignment horizontal="center"/>
    </xf>
    <xf numFmtId="9" fontId="2" fillId="0" borderId="15" xfId="0" applyNumberFormat="1" applyFont="1" applyBorder="1" applyAlignment="1">
      <alignment horizontal="center" vertical="center"/>
    </xf>
    <xf numFmtId="9" fontId="2" fillId="0" borderId="29" xfId="0" applyNumberFormat="1" applyFont="1" applyBorder="1" applyAlignment="1">
      <alignment horizontal="center" vertical="center"/>
    </xf>
    <xf numFmtId="9" fontId="2" fillId="0" borderId="30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9" fontId="2" fillId="8" borderId="15" xfId="1" applyFont="1" applyFill="1" applyBorder="1" applyAlignment="1">
      <alignment horizontal="center"/>
    </xf>
    <xf numFmtId="9" fontId="2" fillId="8" borderId="29" xfId="1" applyFont="1" applyFill="1" applyBorder="1" applyAlignment="1">
      <alignment horizontal="center"/>
    </xf>
    <xf numFmtId="9" fontId="2" fillId="8" borderId="36" xfId="1" applyFont="1" applyFill="1" applyBorder="1" applyAlignment="1">
      <alignment horizontal="center"/>
    </xf>
    <xf numFmtId="164" fontId="4" fillId="0" borderId="22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9" fontId="4" fillId="4" borderId="22" xfId="1" applyFont="1" applyFill="1" applyBorder="1" applyAlignment="1">
      <alignment horizontal="center" vertical="center"/>
    </xf>
    <xf numFmtId="9" fontId="4" fillId="4" borderId="31" xfId="1" applyFont="1" applyFill="1" applyBorder="1" applyAlignment="1">
      <alignment horizontal="center" vertical="center"/>
    </xf>
    <xf numFmtId="9" fontId="4" fillId="4" borderId="32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9" fontId="8" fillId="0" borderId="38" xfId="0" applyNumberFormat="1" applyFont="1" applyBorder="1" applyAlignment="1">
      <alignment horizontal="center" vertical="center"/>
    </xf>
    <xf numFmtId="9" fontId="8" fillId="0" borderId="31" xfId="0" applyNumberFormat="1" applyFont="1" applyBorder="1" applyAlignment="1">
      <alignment horizontal="center" vertical="center"/>
    </xf>
    <xf numFmtId="9" fontId="8" fillId="0" borderId="37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9" fontId="4" fillId="0" borderId="22" xfId="1" applyFont="1" applyBorder="1" applyAlignment="1">
      <alignment horizontal="center" vertical="center"/>
    </xf>
    <xf numFmtId="9" fontId="4" fillId="0" borderId="31" xfId="1" applyFont="1" applyBorder="1" applyAlignment="1">
      <alignment horizontal="center" vertical="center"/>
    </xf>
    <xf numFmtId="9" fontId="4" fillId="0" borderId="32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9" fontId="4" fillId="0" borderId="16" xfId="1" applyFon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2" fontId="4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2" fontId="4" fillId="0" borderId="16" xfId="1" applyNumberFormat="1" applyFont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9" fontId="4" fillId="12" borderId="16" xfId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textRotation="90" wrapText="1"/>
    </xf>
    <xf numFmtId="0" fontId="4" fillId="3" borderId="20" xfId="0" applyFont="1" applyFill="1" applyBorder="1" applyAlignment="1">
      <alignment horizontal="center" vertical="center" textRotation="90" wrapText="1"/>
    </xf>
    <xf numFmtId="0" fontId="4" fillId="3" borderId="19" xfId="0" applyFont="1" applyFill="1" applyBorder="1" applyAlignment="1">
      <alignment horizontal="center" vertical="center" textRotation="90" wrapText="1"/>
    </xf>
    <xf numFmtId="0" fontId="4" fillId="3" borderId="18" xfId="0" applyFont="1" applyFill="1" applyBorder="1" applyAlignment="1">
      <alignment horizontal="center" vertical="center" textRotation="90" wrapText="1"/>
    </xf>
    <xf numFmtId="0" fontId="4" fillId="3" borderId="0" xfId="0" applyFont="1" applyFill="1" applyAlignment="1">
      <alignment horizontal="center" vertical="center" textRotation="90" wrapText="1"/>
    </xf>
    <xf numFmtId="0" fontId="4" fillId="3" borderId="21" xfId="0" applyFont="1" applyFill="1" applyBorder="1" applyAlignment="1">
      <alignment horizontal="center" vertical="center" textRotation="90" wrapText="1"/>
    </xf>
    <xf numFmtId="0" fontId="4" fillId="3" borderId="23" xfId="0" applyFont="1" applyFill="1" applyBorder="1" applyAlignment="1">
      <alignment horizontal="center" vertical="center" textRotation="90" wrapText="1"/>
    </xf>
    <xf numFmtId="0" fontId="4" fillId="3" borderId="24" xfId="0" applyFont="1" applyFill="1" applyBorder="1" applyAlignment="1">
      <alignment horizontal="center" vertical="center" textRotation="90" wrapText="1"/>
    </xf>
    <xf numFmtId="0" fontId="4" fillId="3" borderId="25" xfId="0" applyFont="1" applyFill="1" applyBorder="1" applyAlignment="1">
      <alignment horizontal="center" vertical="center" textRotation="90" wrapText="1"/>
    </xf>
    <xf numFmtId="0" fontId="4" fillId="4" borderId="6" xfId="0" applyFont="1" applyFill="1" applyBorder="1" applyAlignment="1">
      <alignment horizontal="center" vertical="center" textRotation="90" wrapText="1"/>
    </xf>
    <xf numFmtId="0" fontId="4" fillId="4" borderId="4" xfId="0" applyFont="1" applyFill="1" applyBorder="1" applyAlignment="1">
      <alignment horizontal="center" vertical="center" textRotation="90" wrapText="1"/>
    </xf>
    <xf numFmtId="0" fontId="4" fillId="4" borderId="18" xfId="0" applyFont="1" applyFill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8" borderId="20" xfId="0" applyFont="1" applyFill="1" applyBorder="1" applyAlignment="1">
      <alignment horizontal="center" vertical="center" textRotation="90" wrapText="1"/>
    </xf>
    <xf numFmtId="0" fontId="4" fillId="8" borderId="19" xfId="0" applyFont="1" applyFill="1" applyBorder="1" applyAlignment="1">
      <alignment horizontal="center" vertical="center" textRotation="90" wrapText="1"/>
    </xf>
    <xf numFmtId="0" fontId="4" fillId="8" borderId="18" xfId="0" applyFont="1" applyFill="1" applyBorder="1" applyAlignment="1">
      <alignment horizontal="center" vertical="center" textRotation="90" wrapText="1"/>
    </xf>
    <xf numFmtId="0" fontId="4" fillId="8" borderId="0" xfId="0" applyFont="1" applyFill="1" applyAlignment="1">
      <alignment horizontal="center" vertical="center" textRotation="90" wrapText="1"/>
    </xf>
    <xf numFmtId="0" fontId="4" fillId="8" borderId="21" xfId="0" applyFont="1" applyFill="1" applyBorder="1" applyAlignment="1">
      <alignment horizontal="center" vertical="center" textRotation="90" wrapText="1"/>
    </xf>
    <xf numFmtId="0" fontId="4" fillId="8" borderId="23" xfId="0" applyFont="1" applyFill="1" applyBorder="1" applyAlignment="1">
      <alignment horizontal="center" vertical="center" textRotation="90" wrapText="1"/>
    </xf>
    <xf numFmtId="0" fontId="4" fillId="8" borderId="24" xfId="0" applyFont="1" applyFill="1" applyBorder="1" applyAlignment="1">
      <alignment horizontal="center" vertical="center" textRotation="90" wrapText="1"/>
    </xf>
    <xf numFmtId="0" fontId="4" fillId="8" borderId="25" xfId="0" applyFont="1" applyFill="1" applyBorder="1" applyAlignment="1">
      <alignment horizontal="center" vertical="center" textRotation="90" wrapText="1"/>
    </xf>
    <xf numFmtId="0" fontId="4" fillId="3" borderId="16" xfId="0" applyFont="1" applyFill="1" applyBorder="1" applyAlignment="1">
      <alignment horizontal="center" vertical="center" textRotation="90" wrapText="1"/>
    </xf>
    <xf numFmtId="0" fontId="4" fillId="3" borderId="22" xfId="0" applyFont="1" applyFill="1" applyBorder="1" applyAlignment="1">
      <alignment horizontal="center" vertical="center" textRotation="90" wrapText="1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9" fontId="4" fillId="0" borderId="39" xfId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3" borderId="39" xfId="0" applyFont="1" applyFill="1" applyBorder="1" applyAlignment="1">
      <alignment horizontal="center" vertical="center" wrapText="1"/>
    </xf>
    <xf numFmtId="0" fontId="4" fillId="17" borderId="39" xfId="0" applyFont="1" applyFill="1" applyBorder="1" applyAlignment="1">
      <alignment horizontal="center" vertical="center" wrapText="1"/>
    </xf>
    <xf numFmtId="0" fontId="5" fillId="15" borderId="45" xfId="0" applyFont="1" applyFill="1" applyBorder="1" applyAlignment="1">
      <alignment horizontal="center"/>
    </xf>
    <xf numFmtId="0" fontId="5" fillId="15" borderId="46" xfId="0" applyFont="1" applyFill="1" applyBorder="1" applyAlignment="1">
      <alignment horizontal="center"/>
    </xf>
    <xf numFmtId="9" fontId="0" fillId="0" borderId="48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9" fontId="0" fillId="0" borderId="46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5D90B"/>
      <color rgb="FFFFD675"/>
      <color rgb="FFCCECFF"/>
      <color rgb="FFFFCC66"/>
      <color rgb="FFCCFF99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F129-078A-2140-B287-FD60104041BC}">
  <sheetPr>
    <pageSetUpPr fitToPage="1"/>
  </sheetPr>
  <dimension ref="A1:BQ66"/>
  <sheetViews>
    <sheetView showGridLines="0" zoomScale="116" zoomScaleNormal="59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L18" sqref="L18:L29"/>
    </sheetView>
  </sheetViews>
  <sheetFormatPr baseColWidth="10" defaultColWidth="8.83203125" defaultRowHeight="14"/>
  <cols>
    <col min="1" max="1" width="14.5" style="1" customWidth="1"/>
    <col min="2" max="2" width="29.6640625" style="1" customWidth="1"/>
    <col min="3" max="3" width="7.5" style="1" bestFit="1" customWidth="1"/>
    <col min="4" max="4" width="49.1640625" style="1" customWidth="1"/>
    <col min="5" max="6" width="8.83203125" style="2"/>
    <col min="7" max="7" width="8.83203125" style="1"/>
    <col min="8" max="8" width="6.33203125" style="1" customWidth="1"/>
    <col min="9" max="9" width="6.6640625" style="1" customWidth="1"/>
    <col min="10" max="11" width="8.83203125" style="2"/>
    <col min="12" max="12" width="6.5" style="1" customWidth="1"/>
    <col min="13" max="13" width="6.6640625" style="1" customWidth="1"/>
    <col min="14" max="15" width="8.83203125" style="1"/>
    <col min="16" max="16" width="6.5" style="1" customWidth="1"/>
    <col min="17" max="17" width="7" style="1" customWidth="1"/>
    <col min="18" max="19" width="8.83203125" style="1"/>
    <col min="20" max="20" width="7.1640625" style="1" customWidth="1"/>
    <col min="21" max="21" width="7.5" style="1" customWidth="1"/>
    <col min="22" max="45" width="8.83203125" style="1"/>
    <col min="46" max="49" width="8.83203125" style="1" customWidth="1"/>
    <col min="50" max="16384" width="8.83203125" style="1"/>
  </cols>
  <sheetData>
    <row r="1" spans="1:69" ht="15" customHeight="1">
      <c r="A1" s="11"/>
      <c r="B1" s="11"/>
      <c r="C1" s="11"/>
      <c r="D1" s="11"/>
      <c r="E1" s="173" t="s">
        <v>97</v>
      </c>
      <c r="F1" s="176"/>
      <c r="G1" s="177"/>
      <c r="H1" s="177"/>
      <c r="I1" s="178"/>
      <c r="J1" s="179"/>
      <c r="K1" s="180"/>
      <c r="L1" s="180"/>
      <c r="M1" s="181"/>
      <c r="N1" s="182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/>
      <c r="AH1" s="182"/>
      <c r="AI1" s="180"/>
      <c r="AJ1" s="180"/>
      <c r="AK1" s="181"/>
      <c r="AL1" s="182"/>
      <c r="AM1" s="180"/>
      <c r="AN1" s="180"/>
      <c r="AO1" s="180"/>
      <c r="AP1" s="180"/>
      <c r="AQ1" s="180"/>
      <c r="AR1" s="180"/>
      <c r="AS1" s="181"/>
      <c r="AT1" s="183"/>
      <c r="AU1" s="184"/>
      <c r="AV1" s="184"/>
      <c r="AW1" s="184"/>
      <c r="AX1" s="184"/>
      <c r="AY1" s="184"/>
      <c r="AZ1" s="184"/>
      <c r="BA1" s="185"/>
      <c r="BB1" s="182"/>
      <c r="BC1" s="180"/>
      <c r="BD1" s="180"/>
      <c r="BE1" s="180"/>
      <c r="BF1" s="180"/>
      <c r="BG1" s="180"/>
      <c r="BH1" s="180"/>
      <c r="BI1" s="180"/>
      <c r="BJ1" s="180"/>
      <c r="BK1" s="14"/>
      <c r="BL1" s="14"/>
      <c r="BM1" s="14"/>
      <c r="BN1" s="186" t="s">
        <v>100</v>
      </c>
      <c r="BO1" s="186"/>
      <c r="BP1" s="186"/>
      <c r="BQ1" s="187"/>
    </row>
    <row r="2" spans="1:69" ht="15" customHeight="1">
      <c r="A2" s="11"/>
      <c r="B2" s="11"/>
      <c r="C2" s="11"/>
      <c r="D2" s="11"/>
      <c r="E2" s="174"/>
      <c r="F2" s="196">
        <v>1</v>
      </c>
      <c r="G2" s="197"/>
      <c r="H2" s="197"/>
      <c r="I2" s="198"/>
      <c r="J2" s="182">
        <v>2</v>
      </c>
      <c r="K2" s="180"/>
      <c r="L2" s="180"/>
      <c r="M2" s="181"/>
      <c r="N2" s="182">
        <v>3</v>
      </c>
      <c r="O2" s="180"/>
      <c r="P2" s="180"/>
      <c r="Q2" s="181"/>
      <c r="R2" s="182">
        <v>4</v>
      </c>
      <c r="S2" s="180"/>
      <c r="T2" s="180"/>
      <c r="U2" s="181"/>
      <c r="V2" s="182">
        <v>5</v>
      </c>
      <c r="W2" s="180"/>
      <c r="X2" s="180"/>
      <c r="Y2" s="181"/>
      <c r="Z2" s="182">
        <v>6</v>
      </c>
      <c r="AA2" s="180"/>
      <c r="AB2" s="180"/>
      <c r="AC2" s="181"/>
      <c r="AD2" s="182">
        <v>7</v>
      </c>
      <c r="AE2" s="180"/>
      <c r="AF2" s="180"/>
      <c r="AG2" s="181"/>
      <c r="AH2" s="182">
        <v>8</v>
      </c>
      <c r="AI2" s="180"/>
      <c r="AJ2" s="180"/>
      <c r="AK2" s="181"/>
      <c r="AL2" s="182">
        <v>9</v>
      </c>
      <c r="AM2" s="180"/>
      <c r="AN2" s="180"/>
      <c r="AO2" s="181"/>
      <c r="AP2" s="182">
        <v>10</v>
      </c>
      <c r="AQ2" s="180"/>
      <c r="AR2" s="180"/>
      <c r="AS2" s="181"/>
      <c r="AT2" s="182">
        <v>11</v>
      </c>
      <c r="AU2" s="180"/>
      <c r="AV2" s="180"/>
      <c r="AW2" s="181"/>
      <c r="AX2" s="182">
        <v>12</v>
      </c>
      <c r="AY2" s="180"/>
      <c r="AZ2" s="180"/>
      <c r="BA2" s="181"/>
      <c r="BB2" s="182">
        <v>13</v>
      </c>
      <c r="BC2" s="180"/>
      <c r="BD2" s="180"/>
      <c r="BE2" s="181"/>
      <c r="BF2" s="182">
        <v>14</v>
      </c>
      <c r="BG2" s="180"/>
      <c r="BH2" s="180"/>
      <c r="BI2" s="181"/>
      <c r="BJ2" s="182">
        <v>15</v>
      </c>
      <c r="BK2" s="180"/>
      <c r="BL2" s="180"/>
      <c r="BM2" s="181"/>
      <c r="BN2" s="188"/>
      <c r="BO2" s="189"/>
      <c r="BP2" s="189"/>
      <c r="BQ2" s="190"/>
    </row>
    <row r="3" spans="1:69" ht="99" customHeight="1">
      <c r="A3" s="11"/>
      <c r="B3" s="11"/>
      <c r="C3" s="11"/>
      <c r="D3" s="11"/>
      <c r="E3" s="175"/>
      <c r="F3" s="194" t="s">
        <v>103</v>
      </c>
      <c r="G3" s="194"/>
      <c r="H3" s="194"/>
      <c r="I3" s="194"/>
      <c r="J3" s="194" t="s">
        <v>104</v>
      </c>
      <c r="K3" s="194"/>
      <c r="L3" s="194"/>
      <c r="M3" s="194"/>
      <c r="N3" s="194" t="s">
        <v>105</v>
      </c>
      <c r="O3" s="194"/>
      <c r="P3" s="194"/>
      <c r="Q3" s="194"/>
      <c r="R3" s="194" t="s">
        <v>106</v>
      </c>
      <c r="S3" s="194"/>
      <c r="T3" s="194"/>
      <c r="U3" s="194"/>
      <c r="V3" s="194" t="s">
        <v>107</v>
      </c>
      <c r="W3" s="194"/>
      <c r="X3" s="194"/>
      <c r="Y3" s="194"/>
      <c r="Z3" s="194" t="s">
        <v>108</v>
      </c>
      <c r="AA3" s="194"/>
      <c r="AB3" s="194"/>
      <c r="AC3" s="194"/>
      <c r="AD3" s="194" t="s">
        <v>109</v>
      </c>
      <c r="AE3" s="194"/>
      <c r="AF3" s="194"/>
      <c r="AG3" s="194"/>
      <c r="AH3" s="194" t="s">
        <v>110</v>
      </c>
      <c r="AI3" s="194"/>
      <c r="AJ3" s="194"/>
      <c r="AK3" s="194"/>
      <c r="AL3" s="194" t="s">
        <v>111</v>
      </c>
      <c r="AM3" s="194"/>
      <c r="AN3" s="194"/>
      <c r="AO3" s="194"/>
      <c r="AP3" s="194" t="s">
        <v>112</v>
      </c>
      <c r="AQ3" s="194"/>
      <c r="AR3" s="194"/>
      <c r="AS3" s="194"/>
      <c r="AT3" s="194" t="s">
        <v>113</v>
      </c>
      <c r="AU3" s="194"/>
      <c r="AV3" s="194"/>
      <c r="AW3" s="194"/>
      <c r="AX3" s="194" t="s">
        <v>114</v>
      </c>
      <c r="AY3" s="194"/>
      <c r="AZ3" s="194"/>
      <c r="BA3" s="194"/>
      <c r="BB3" s="164" t="s">
        <v>115</v>
      </c>
      <c r="BC3" s="165"/>
      <c r="BD3" s="165"/>
      <c r="BE3" s="166"/>
      <c r="BF3" s="164" t="s">
        <v>116</v>
      </c>
      <c r="BG3" s="165"/>
      <c r="BH3" s="165"/>
      <c r="BI3" s="166"/>
      <c r="BJ3" s="164" t="s">
        <v>117</v>
      </c>
      <c r="BK3" s="165"/>
      <c r="BL3" s="165"/>
      <c r="BM3" s="166"/>
      <c r="BN3" s="188"/>
      <c r="BO3" s="189"/>
      <c r="BP3" s="189"/>
      <c r="BQ3" s="190"/>
    </row>
    <row r="4" spans="1:69" ht="16">
      <c r="A4" s="156" t="s">
        <v>0</v>
      </c>
      <c r="B4" s="15" t="s">
        <v>1</v>
      </c>
      <c r="C4" s="16"/>
      <c r="D4" s="17" t="s">
        <v>3</v>
      </c>
      <c r="E4" s="175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94"/>
      <c r="AZ4" s="194"/>
      <c r="BA4" s="194"/>
      <c r="BB4" s="167"/>
      <c r="BC4" s="168"/>
      <c r="BD4" s="168"/>
      <c r="BE4" s="169"/>
      <c r="BF4" s="167"/>
      <c r="BG4" s="168"/>
      <c r="BH4" s="168"/>
      <c r="BI4" s="169"/>
      <c r="BJ4" s="167"/>
      <c r="BK4" s="168"/>
      <c r="BL4" s="168"/>
      <c r="BM4" s="169"/>
      <c r="BN4" s="188"/>
      <c r="BO4" s="189"/>
      <c r="BP4" s="189"/>
      <c r="BQ4" s="190"/>
    </row>
    <row r="5" spans="1:69" ht="17" thickBot="1">
      <c r="A5" s="157"/>
      <c r="B5" s="18" t="s">
        <v>2</v>
      </c>
      <c r="C5" s="19"/>
      <c r="D5" s="20" t="s">
        <v>4</v>
      </c>
      <c r="E5" s="17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70"/>
      <c r="BC5" s="171"/>
      <c r="BD5" s="171"/>
      <c r="BE5" s="172"/>
      <c r="BF5" s="170"/>
      <c r="BG5" s="171"/>
      <c r="BH5" s="171"/>
      <c r="BI5" s="172"/>
      <c r="BJ5" s="170"/>
      <c r="BK5" s="171"/>
      <c r="BL5" s="171"/>
      <c r="BM5" s="172"/>
      <c r="BN5" s="191"/>
      <c r="BO5" s="192"/>
      <c r="BP5" s="192"/>
      <c r="BQ5" s="193"/>
    </row>
    <row r="6" spans="1:69" ht="16">
      <c r="A6" s="158" t="s">
        <v>93</v>
      </c>
      <c r="B6" s="146" t="s">
        <v>5</v>
      </c>
      <c r="C6" s="22" t="s">
        <v>52</v>
      </c>
      <c r="D6" s="23" t="s">
        <v>5</v>
      </c>
      <c r="E6" s="24">
        <v>2</v>
      </c>
      <c r="F6" s="25">
        <v>1</v>
      </c>
      <c r="G6" s="26">
        <f>F6/E6</f>
        <v>0.5</v>
      </c>
      <c r="H6" s="161">
        <f>SUM(F6:F17)</f>
        <v>11.7</v>
      </c>
      <c r="I6" s="142">
        <f>H6/24</f>
        <v>0.48749999999999999</v>
      </c>
      <c r="J6" s="25">
        <v>1</v>
      </c>
      <c r="K6" s="27">
        <f>J6/E6</f>
        <v>0.5</v>
      </c>
      <c r="L6" s="162">
        <f>SUM(J6:J17)</f>
        <v>12.599999999999998</v>
      </c>
      <c r="M6" s="163">
        <f>L6/24</f>
        <v>0.52499999999999991</v>
      </c>
      <c r="N6" s="25">
        <v>1</v>
      </c>
      <c r="O6" s="26">
        <f>N6/E6</f>
        <v>0.5</v>
      </c>
      <c r="P6" s="137">
        <f>SUM(N6:N17)</f>
        <v>12.399999999999999</v>
      </c>
      <c r="Q6" s="134">
        <f>P6/24</f>
        <v>0.51666666666666661</v>
      </c>
      <c r="R6" s="25">
        <v>1</v>
      </c>
      <c r="S6" s="26">
        <f>R6/E6</f>
        <v>0.5</v>
      </c>
      <c r="T6" s="137">
        <f>SUM(R6:R17)</f>
        <v>12.599999999999998</v>
      </c>
      <c r="U6" s="134">
        <f>T6/24</f>
        <v>0.52499999999999991</v>
      </c>
      <c r="V6" s="25">
        <v>1.2</v>
      </c>
      <c r="W6" s="26">
        <f>V6/E6</f>
        <v>0.6</v>
      </c>
      <c r="X6" s="137">
        <f>SUM(V6:V17)</f>
        <v>14.199999999999996</v>
      </c>
      <c r="Y6" s="134">
        <f>X6/24</f>
        <v>0.59166666666666645</v>
      </c>
      <c r="Z6" s="25">
        <v>1.2</v>
      </c>
      <c r="AA6" s="26">
        <f>Z6/2</f>
        <v>0.6</v>
      </c>
      <c r="AB6" s="137">
        <f>SUM(Z6:Z17)</f>
        <v>12.2</v>
      </c>
      <c r="AC6" s="134">
        <f>AB6/24</f>
        <v>0.5083333333333333</v>
      </c>
      <c r="AD6" s="25">
        <v>1.4</v>
      </c>
      <c r="AE6" s="26">
        <f>AD6/2</f>
        <v>0.7</v>
      </c>
      <c r="AF6" s="137">
        <f>SUM(AD6:AD17)</f>
        <v>13.999999999999998</v>
      </c>
      <c r="AG6" s="134">
        <f>AF6/24</f>
        <v>0.58333333333333326</v>
      </c>
      <c r="AH6" s="12">
        <v>1</v>
      </c>
      <c r="AI6" s="26">
        <f>AH6/2</f>
        <v>0.5</v>
      </c>
      <c r="AJ6" s="137">
        <f>SUM(AH6:AH17)</f>
        <v>11.3</v>
      </c>
      <c r="AK6" s="134">
        <f>AJ6/24</f>
        <v>0.47083333333333338</v>
      </c>
      <c r="AL6" s="12">
        <v>1</v>
      </c>
      <c r="AM6" s="26">
        <f>AL6/2</f>
        <v>0.5</v>
      </c>
      <c r="AN6" s="137">
        <f>SUM(AL6:AL17)</f>
        <v>11.799999999999999</v>
      </c>
      <c r="AO6" s="134">
        <f>AN6/24</f>
        <v>0.49166666666666664</v>
      </c>
      <c r="AP6" s="12">
        <v>1</v>
      </c>
      <c r="AQ6" s="26">
        <f>AP6/2</f>
        <v>0.5</v>
      </c>
      <c r="AR6" s="154">
        <f>SUM(AP6:AP17)</f>
        <v>12.8</v>
      </c>
      <c r="AS6" s="155">
        <f>AR6/24</f>
        <v>0.53333333333333333</v>
      </c>
      <c r="AT6" s="28">
        <v>1.4</v>
      </c>
      <c r="AU6" s="29">
        <f>AT6/E6</f>
        <v>0.7</v>
      </c>
      <c r="AV6" s="154">
        <f>SUM(AT6:AT17)</f>
        <v>15.2</v>
      </c>
      <c r="AW6" s="155">
        <f>AV6/24</f>
        <v>0.6333333333333333</v>
      </c>
      <c r="AX6" s="25">
        <v>1.2</v>
      </c>
      <c r="AY6" s="29">
        <f>AX6/E6</f>
        <v>0.6</v>
      </c>
      <c r="AZ6" s="154">
        <f>SUM(AX6:AX17)</f>
        <v>14.399999999999999</v>
      </c>
      <c r="BA6" s="155">
        <f>AZ6/24</f>
        <v>0.6</v>
      </c>
      <c r="BB6" s="25">
        <v>1.2</v>
      </c>
      <c r="BC6" s="26">
        <f>BB6/E6</f>
        <v>0.6</v>
      </c>
      <c r="BD6" s="154">
        <f>SUM(BB6:BB17)</f>
        <v>14.199999999999998</v>
      </c>
      <c r="BE6" s="155">
        <f>BD6/24</f>
        <v>0.59166666666666656</v>
      </c>
      <c r="BF6" s="12">
        <v>1</v>
      </c>
      <c r="BG6" s="29">
        <f>BF6/E6</f>
        <v>0.5</v>
      </c>
      <c r="BH6" s="154">
        <f>SUM(BF6:BF17)</f>
        <v>12.2</v>
      </c>
      <c r="BI6" s="155">
        <f>BH6/24</f>
        <v>0.5083333333333333</v>
      </c>
      <c r="BJ6" s="12">
        <v>0.8</v>
      </c>
      <c r="BK6" s="29">
        <f>BJ6/E6</f>
        <v>0.4</v>
      </c>
      <c r="BL6" s="154">
        <f>SUM(BJ6:BJ17)</f>
        <v>11.399999999999999</v>
      </c>
      <c r="BM6" s="155">
        <f>BL6/24</f>
        <v>0.47499999999999992</v>
      </c>
      <c r="BN6" s="30">
        <f>AVERAGE(F6,J6,N6,R6,V6,Z6,AD6,AH6,AL6,AP6,AT6,AX6,BB6,BF6,BJ6)</f>
        <v>1.0933333333333333</v>
      </c>
      <c r="BO6" s="31">
        <f>BN6/E6</f>
        <v>0.54666666666666663</v>
      </c>
      <c r="BP6" s="153">
        <f>SUM(BN6:BN17)</f>
        <v>12.866666666666664</v>
      </c>
      <c r="BQ6" s="120">
        <f>BP6/24</f>
        <v>0.53611111111111098</v>
      </c>
    </row>
    <row r="7" spans="1:69" ht="16">
      <c r="A7" s="159"/>
      <c r="B7" s="123"/>
      <c r="C7" s="32" t="s">
        <v>53</v>
      </c>
      <c r="D7" s="33" t="s">
        <v>6</v>
      </c>
      <c r="E7" s="24">
        <v>2</v>
      </c>
      <c r="F7" s="25">
        <v>1</v>
      </c>
      <c r="G7" s="26">
        <f>F7/E7</f>
        <v>0.5</v>
      </c>
      <c r="H7" s="161"/>
      <c r="I7" s="142"/>
      <c r="J7" s="25">
        <v>1</v>
      </c>
      <c r="K7" s="27">
        <f>J7/E7</f>
        <v>0.5</v>
      </c>
      <c r="L7" s="162"/>
      <c r="M7" s="163"/>
      <c r="N7" s="25">
        <v>1</v>
      </c>
      <c r="O7" s="26">
        <f t="shared" ref="O7:O45" si="0">N7/E7</f>
        <v>0.5</v>
      </c>
      <c r="P7" s="118"/>
      <c r="Q7" s="135"/>
      <c r="R7" s="25">
        <v>1</v>
      </c>
      <c r="S7" s="26">
        <f t="shared" ref="S7:S45" si="1">R7/E7</f>
        <v>0.5</v>
      </c>
      <c r="T7" s="118"/>
      <c r="U7" s="135"/>
      <c r="V7" s="25">
        <v>1.2</v>
      </c>
      <c r="W7" s="26">
        <f>V7/E7</f>
        <v>0.6</v>
      </c>
      <c r="X7" s="118"/>
      <c r="Y7" s="135"/>
      <c r="Z7" s="25">
        <v>1</v>
      </c>
      <c r="AA7" s="26">
        <f t="shared" ref="AA7:AA41" si="2">Z7/2</f>
        <v>0.5</v>
      </c>
      <c r="AB7" s="118"/>
      <c r="AC7" s="135"/>
      <c r="AD7" s="25">
        <v>1</v>
      </c>
      <c r="AE7" s="26">
        <f t="shared" ref="AE7:AE41" si="3">AD7/2</f>
        <v>0.5</v>
      </c>
      <c r="AF7" s="118"/>
      <c r="AG7" s="135"/>
      <c r="AH7" s="12">
        <v>1</v>
      </c>
      <c r="AI7" s="26">
        <f t="shared" ref="AI7:AI41" si="4">AH7/2</f>
        <v>0.5</v>
      </c>
      <c r="AJ7" s="118"/>
      <c r="AK7" s="135"/>
      <c r="AL7" s="12">
        <v>1</v>
      </c>
      <c r="AM7" s="26">
        <f t="shared" ref="AM7:AM41" si="5">AL7/2</f>
        <v>0.5</v>
      </c>
      <c r="AN7" s="118"/>
      <c r="AO7" s="135"/>
      <c r="AP7" s="12">
        <v>1.2</v>
      </c>
      <c r="AQ7" s="26">
        <f t="shared" ref="AQ7:AQ41" si="6">AP7/2</f>
        <v>0.6</v>
      </c>
      <c r="AR7" s="132"/>
      <c r="AS7" s="129"/>
      <c r="AT7" s="28">
        <v>1.4</v>
      </c>
      <c r="AU7" s="29">
        <f t="shared" ref="AU7:AU45" si="7">AT7/E7</f>
        <v>0.7</v>
      </c>
      <c r="AV7" s="132"/>
      <c r="AW7" s="129"/>
      <c r="AX7" s="25">
        <v>1.2</v>
      </c>
      <c r="AY7" s="29">
        <f t="shared" ref="AY7:AY45" si="8">AX7/E7</f>
        <v>0.6</v>
      </c>
      <c r="AZ7" s="132"/>
      <c r="BA7" s="129"/>
      <c r="BB7" s="25">
        <v>1.2</v>
      </c>
      <c r="BC7" s="26">
        <f t="shared" ref="BC7:BC45" si="9">BB7/E7</f>
        <v>0.6</v>
      </c>
      <c r="BD7" s="132"/>
      <c r="BE7" s="129"/>
      <c r="BF7" s="12">
        <v>1</v>
      </c>
      <c r="BG7" s="29">
        <f t="shared" ref="BG7:BG45" si="10">BF7/E7</f>
        <v>0.5</v>
      </c>
      <c r="BH7" s="132"/>
      <c r="BI7" s="129"/>
      <c r="BJ7" s="12">
        <v>1</v>
      </c>
      <c r="BK7" s="29">
        <f t="shared" ref="BK7:BK45" si="11">BJ7/E7</f>
        <v>0.5</v>
      </c>
      <c r="BL7" s="132"/>
      <c r="BM7" s="129"/>
      <c r="BN7" s="30">
        <f t="shared" ref="BN7:BN45" si="12">AVERAGE(F7,J7,N7,R7,V7,Z7,AD7,AH7,AL7,AP7,AT7,AX7,BB7,BF7,BJ7)</f>
        <v>1.0799999999999996</v>
      </c>
      <c r="BO7" s="31">
        <f t="shared" ref="BO7:BO45" si="13">BN7/E7</f>
        <v>0.53999999999999981</v>
      </c>
      <c r="BP7" s="118"/>
      <c r="BQ7" s="121"/>
    </row>
    <row r="8" spans="1:69" ht="16">
      <c r="A8" s="159"/>
      <c r="B8" s="123"/>
      <c r="C8" s="32" t="s">
        <v>54</v>
      </c>
      <c r="D8" s="33" t="s">
        <v>7</v>
      </c>
      <c r="E8" s="24">
        <v>2</v>
      </c>
      <c r="F8" s="25">
        <v>1</v>
      </c>
      <c r="G8" s="26">
        <f t="shared" ref="G8:G16" si="14">F8/E8</f>
        <v>0.5</v>
      </c>
      <c r="H8" s="161"/>
      <c r="I8" s="142"/>
      <c r="J8" s="25">
        <v>1</v>
      </c>
      <c r="K8" s="27">
        <f t="shared" ref="K8:K16" si="15">J8/E8</f>
        <v>0.5</v>
      </c>
      <c r="L8" s="162"/>
      <c r="M8" s="163"/>
      <c r="N8" s="25">
        <v>1</v>
      </c>
      <c r="O8" s="26">
        <f t="shared" si="0"/>
        <v>0.5</v>
      </c>
      <c r="P8" s="118"/>
      <c r="Q8" s="135"/>
      <c r="R8" s="25">
        <v>1</v>
      </c>
      <c r="S8" s="26">
        <f t="shared" si="1"/>
        <v>0.5</v>
      </c>
      <c r="T8" s="118"/>
      <c r="U8" s="135"/>
      <c r="V8" s="25">
        <v>1</v>
      </c>
      <c r="W8" s="26">
        <f t="shared" ref="W8:W23" si="16">V8/E8</f>
        <v>0.5</v>
      </c>
      <c r="X8" s="118"/>
      <c r="Y8" s="135"/>
      <c r="Z8" s="25">
        <v>1</v>
      </c>
      <c r="AA8" s="26">
        <f t="shared" si="2"/>
        <v>0.5</v>
      </c>
      <c r="AB8" s="118"/>
      <c r="AC8" s="135"/>
      <c r="AD8" s="25">
        <v>1</v>
      </c>
      <c r="AE8" s="26">
        <f t="shared" si="3"/>
        <v>0.5</v>
      </c>
      <c r="AF8" s="118"/>
      <c r="AG8" s="135"/>
      <c r="AH8" s="12">
        <v>1</v>
      </c>
      <c r="AI8" s="26">
        <f t="shared" si="4"/>
        <v>0.5</v>
      </c>
      <c r="AJ8" s="118"/>
      <c r="AK8" s="135"/>
      <c r="AL8" s="12">
        <v>1</v>
      </c>
      <c r="AM8" s="26">
        <f t="shared" si="5"/>
        <v>0.5</v>
      </c>
      <c r="AN8" s="118"/>
      <c r="AO8" s="135"/>
      <c r="AP8" s="12">
        <v>1</v>
      </c>
      <c r="AQ8" s="26">
        <f t="shared" si="6"/>
        <v>0.5</v>
      </c>
      <c r="AR8" s="132"/>
      <c r="AS8" s="129"/>
      <c r="AT8" s="28">
        <v>1</v>
      </c>
      <c r="AU8" s="29">
        <f t="shared" si="7"/>
        <v>0.5</v>
      </c>
      <c r="AV8" s="132"/>
      <c r="AW8" s="129"/>
      <c r="AX8" s="25">
        <v>1</v>
      </c>
      <c r="AY8" s="29">
        <f t="shared" si="8"/>
        <v>0.5</v>
      </c>
      <c r="AZ8" s="132"/>
      <c r="BA8" s="129"/>
      <c r="BB8" s="25">
        <v>1</v>
      </c>
      <c r="BC8" s="26">
        <f t="shared" si="9"/>
        <v>0.5</v>
      </c>
      <c r="BD8" s="132"/>
      <c r="BE8" s="129"/>
      <c r="BF8" s="12">
        <v>1</v>
      </c>
      <c r="BG8" s="29">
        <f t="shared" si="10"/>
        <v>0.5</v>
      </c>
      <c r="BH8" s="132"/>
      <c r="BI8" s="129"/>
      <c r="BJ8" s="12">
        <v>1</v>
      </c>
      <c r="BK8" s="29">
        <f t="shared" si="11"/>
        <v>0.5</v>
      </c>
      <c r="BL8" s="132"/>
      <c r="BM8" s="129"/>
      <c r="BN8" s="30">
        <f t="shared" si="12"/>
        <v>1</v>
      </c>
      <c r="BO8" s="31">
        <f t="shared" si="13"/>
        <v>0.5</v>
      </c>
      <c r="BP8" s="118"/>
      <c r="BQ8" s="121"/>
    </row>
    <row r="9" spans="1:69" ht="16">
      <c r="A9" s="159"/>
      <c r="B9" s="123"/>
      <c r="C9" s="32" t="s">
        <v>55</v>
      </c>
      <c r="D9" s="33" t="s">
        <v>8</v>
      </c>
      <c r="E9" s="24">
        <v>2</v>
      </c>
      <c r="F9" s="25">
        <v>1</v>
      </c>
      <c r="G9" s="26">
        <f t="shared" si="14"/>
        <v>0.5</v>
      </c>
      <c r="H9" s="161"/>
      <c r="I9" s="142"/>
      <c r="J9" s="25">
        <v>1</v>
      </c>
      <c r="K9" s="27">
        <f t="shared" si="15"/>
        <v>0.5</v>
      </c>
      <c r="L9" s="162"/>
      <c r="M9" s="163"/>
      <c r="N9" s="25">
        <v>1</v>
      </c>
      <c r="O9" s="26">
        <f t="shared" si="0"/>
        <v>0.5</v>
      </c>
      <c r="P9" s="118"/>
      <c r="Q9" s="135"/>
      <c r="R9" s="25">
        <v>1</v>
      </c>
      <c r="S9" s="26">
        <f t="shared" si="1"/>
        <v>0.5</v>
      </c>
      <c r="T9" s="118"/>
      <c r="U9" s="135"/>
      <c r="V9" s="25">
        <v>1</v>
      </c>
      <c r="W9" s="26">
        <f t="shared" si="16"/>
        <v>0.5</v>
      </c>
      <c r="X9" s="118"/>
      <c r="Y9" s="135"/>
      <c r="Z9" s="25">
        <v>1</v>
      </c>
      <c r="AA9" s="26">
        <f t="shared" si="2"/>
        <v>0.5</v>
      </c>
      <c r="AB9" s="118"/>
      <c r="AC9" s="135"/>
      <c r="AD9" s="25">
        <v>1</v>
      </c>
      <c r="AE9" s="26">
        <f t="shared" si="3"/>
        <v>0.5</v>
      </c>
      <c r="AF9" s="118"/>
      <c r="AG9" s="135"/>
      <c r="AH9" s="12">
        <v>1</v>
      </c>
      <c r="AI9" s="26">
        <f t="shared" si="4"/>
        <v>0.5</v>
      </c>
      <c r="AJ9" s="118"/>
      <c r="AK9" s="135"/>
      <c r="AL9" s="12">
        <v>1</v>
      </c>
      <c r="AM9" s="26">
        <f t="shared" si="5"/>
        <v>0.5</v>
      </c>
      <c r="AN9" s="118"/>
      <c r="AO9" s="135"/>
      <c r="AP9" s="12">
        <v>1</v>
      </c>
      <c r="AQ9" s="26">
        <f t="shared" si="6"/>
        <v>0.5</v>
      </c>
      <c r="AR9" s="132"/>
      <c r="AS9" s="129"/>
      <c r="AT9" s="28">
        <v>1</v>
      </c>
      <c r="AU9" s="29">
        <f t="shared" si="7"/>
        <v>0.5</v>
      </c>
      <c r="AV9" s="132"/>
      <c r="AW9" s="129"/>
      <c r="AX9" s="25">
        <v>1</v>
      </c>
      <c r="AY9" s="29">
        <f t="shared" si="8"/>
        <v>0.5</v>
      </c>
      <c r="AZ9" s="132"/>
      <c r="BA9" s="129"/>
      <c r="BB9" s="25">
        <v>1.2</v>
      </c>
      <c r="BC9" s="26">
        <f t="shared" si="9"/>
        <v>0.6</v>
      </c>
      <c r="BD9" s="132"/>
      <c r="BE9" s="129"/>
      <c r="BF9" s="12">
        <v>1</v>
      </c>
      <c r="BG9" s="29">
        <f t="shared" si="10"/>
        <v>0.5</v>
      </c>
      <c r="BH9" s="132"/>
      <c r="BI9" s="129"/>
      <c r="BJ9" s="12">
        <v>1</v>
      </c>
      <c r="BK9" s="29">
        <f t="shared" si="11"/>
        <v>0.5</v>
      </c>
      <c r="BL9" s="132"/>
      <c r="BM9" s="129"/>
      <c r="BN9" s="30">
        <f t="shared" si="12"/>
        <v>1.0133333333333332</v>
      </c>
      <c r="BO9" s="31">
        <f t="shared" si="13"/>
        <v>0.5066666666666666</v>
      </c>
      <c r="BP9" s="118"/>
      <c r="BQ9" s="121"/>
    </row>
    <row r="10" spans="1:69" ht="16">
      <c r="A10" s="159"/>
      <c r="B10" s="123" t="s">
        <v>9</v>
      </c>
      <c r="C10" s="32" t="s">
        <v>56</v>
      </c>
      <c r="D10" s="34" t="s">
        <v>10</v>
      </c>
      <c r="E10" s="24">
        <v>2</v>
      </c>
      <c r="F10" s="25">
        <v>0.8</v>
      </c>
      <c r="G10" s="26">
        <f t="shared" si="14"/>
        <v>0.4</v>
      </c>
      <c r="H10" s="161"/>
      <c r="I10" s="142"/>
      <c r="J10" s="25">
        <v>1</v>
      </c>
      <c r="K10" s="27">
        <f t="shared" si="15"/>
        <v>0.5</v>
      </c>
      <c r="L10" s="162"/>
      <c r="M10" s="163"/>
      <c r="N10" s="25">
        <v>1</v>
      </c>
      <c r="O10" s="26">
        <f t="shared" si="0"/>
        <v>0.5</v>
      </c>
      <c r="P10" s="118"/>
      <c r="Q10" s="135"/>
      <c r="R10" s="25">
        <v>1</v>
      </c>
      <c r="S10" s="26">
        <f t="shared" si="1"/>
        <v>0.5</v>
      </c>
      <c r="T10" s="118"/>
      <c r="U10" s="135"/>
      <c r="V10" s="25">
        <v>1.2</v>
      </c>
      <c r="W10" s="26">
        <f t="shared" si="16"/>
        <v>0.6</v>
      </c>
      <c r="X10" s="118"/>
      <c r="Y10" s="135"/>
      <c r="Z10" s="25">
        <v>0.8</v>
      </c>
      <c r="AA10" s="26">
        <f t="shared" si="2"/>
        <v>0.4</v>
      </c>
      <c r="AB10" s="118"/>
      <c r="AC10" s="135"/>
      <c r="AD10" s="25">
        <v>1</v>
      </c>
      <c r="AE10" s="26">
        <f t="shared" si="3"/>
        <v>0.5</v>
      </c>
      <c r="AF10" s="118"/>
      <c r="AG10" s="135"/>
      <c r="AH10" s="12">
        <v>0.5</v>
      </c>
      <c r="AI10" s="26">
        <f t="shared" si="4"/>
        <v>0.25</v>
      </c>
      <c r="AJ10" s="118"/>
      <c r="AK10" s="135"/>
      <c r="AL10" s="12">
        <v>0.8</v>
      </c>
      <c r="AM10" s="26">
        <f t="shared" si="5"/>
        <v>0.4</v>
      </c>
      <c r="AN10" s="118"/>
      <c r="AO10" s="135"/>
      <c r="AP10" s="12">
        <v>1</v>
      </c>
      <c r="AQ10" s="26">
        <f t="shared" si="6"/>
        <v>0.5</v>
      </c>
      <c r="AR10" s="132"/>
      <c r="AS10" s="129"/>
      <c r="AT10" s="28">
        <v>1.4</v>
      </c>
      <c r="AU10" s="29">
        <f t="shared" si="7"/>
        <v>0.7</v>
      </c>
      <c r="AV10" s="132"/>
      <c r="AW10" s="129"/>
      <c r="AX10" s="25">
        <v>1.4</v>
      </c>
      <c r="AY10" s="29">
        <f t="shared" si="8"/>
        <v>0.7</v>
      </c>
      <c r="AZ10" s="132"/>
      <c r="BA10" s="129"/>
      <c r="BB10" s="25">
        <v>1.2</v>
      </c>
      <c r="BC10" s="26">
        <f t="shared" si="9"/>
        <v>0.6</v>
      </c>
      <c r="BD10" s="132"/>
      <c r="BE10" s="129"/>
      <c r="BF10" s="12">
        <v>0.8</v>
      </c>
      <c r="BG10" s="29">
        <f t="shared" si="10"/>
        <v>0.4</v>
      </c>
      <c r="BH10" s="132"/>
      <c r="BI10" s="129"/>
      <c r="BJ10" s="12">
        <v>0.8</v>
      </c>
      <c r="BK10" s="29">
        <f t="shared" si="11"/>
        <v>0.4</v>
      </c>
      <c r="BL10" s="132"/>
      <c r="BM10" s="129"/>
      <c r="BN10" s="30">
        <f t="shared" si="12"/>
        <v>0.98000000000000009</v>
      </c>
      <c r="BO10" s="31">
        <f t="shared" si="13"/>
        <v>0.49000000000000005</v>
      </c>
      <c r="BP10" s="118"/>
      <c r="BQ10" s="121"/>
    </row>
    <row r="11" spans="1:69" ht="16">
      <c r="A11" s="159"/>
      <c r="B11" s="123"/>
      <c r="C11" s="32" t="s">
        <v>57</v>
      </c>
      <c r="D11" s="34" t="s">
        <v>11</v>
      </c>
      <c r="E11" s="24">
        <v>2</v>
      </c>
      <c r="F11" s="25">
        <v>0.7</v>
      </c>
      <c r="G11" s="26">
        <f t="shared" si="14"/>
        <v>0.35</v>
      </c>
      <c r="H11" s="161"/>
      <c r="I11" s="142"/>
      <c r="J11" s="25">
        <v>1</v>
      </c>
      <c r="K11" s="27">
        <f t="shared" si="15"/>
        <v>0.5</v>
      </c>
      <c r="L11" s="162"/>
      <c r="M11" s="163"/>
      <c r="N11" s="25">
        <v>1</v>
      </c>
      <c r="O11" s="26">
        <f t="shared" si="0"/>
        <v>0.5</v>
      </c>
      <c r="P11" s="118"/>
      <c r="Q11" s="135"/>
      <c r="R11" s="25">
        <v>1</v>
      </c>
      <c r="S11" s="26">
        <f t="shared" si="1"/>
        <v>0.5</v>
      </c>
      <c r="T11" s="118"/>
      <c r="U11" s="135"/>
      <c r="V11" s="25">
        <v>1.4</v>
      </c>
      <c r="W11" s="26">
        <f t="shared" si="16"/>
        <v>0.7</v>
      </c>
      <c r="X11" s="118"/>
      <c r="Y11" s="135"/>
      <c r="Z11" s="25">
        <v>0.7</v>
      </c>
      <c r="AA11" s="26">
        <f>Z11/2</f>
        <v>0.35</v>
      </c>
      <c r="AB11" s="118"/>
      <c r="AC11" s="135"/>
      <c r="AD11" s="25">
        <v>1.2</v>
      </c>
      <c r="AE11" s="26">
        <f t="shared" si="3"/>
        <v>0.6</v>
      </c>
      <c r="AF11" s="118"/>
      <c r="AG11" s="135"/>
      <c r="AH11" s="12">
        <v>0.5</v>
      </c>
      <c r="AI11" s="26">
        <f t="shared" si="4"/>
        <v>0.25</v>
      </c>
      <c r="AJ11" s="118"/>
      <c r="AK11" s="135"/>
      <c r="AL11" s="12">
        <v>0.8</v>
      </c>
      <c r="AM11" s="26">
        <f t="shared" si="5"/>
        <v>0.4</v>
      </c>
      <c r="AN11" s="118"/>
      <c r="AO11" s="135"/>
      <c r="AP11" s="12">
        <v>1.1000000000000001</v>
      </c>
      <c r="AQ11" s="26">
        <f t="shared" si="6"/>
        <v>0.55000000000000004</v>
      </c>
      <c r="AR11" s="132"/>
      <c r="AS11" s="129"/>
      <c r="AT11" s="28">
        <v>1.4</v>
      </c>
      <c r="AU11" s="29">
        <f t="shared" si="7"/>
        <v>0.7</v>
      </c>
      <c r="AV11" s="132"/>
      <c r="AW11" s="129"/>
      <c r="AX11" s="25">
        <v>1.4</v>
      </c>
      <c r="AY11" s="29">
        <f t="shared" si="8"/>
        <v>0.7</v>
      </c>
      <c r="AZ11" s="132"/>
      <c r="BA11" s="129"/>
      <c r="BB11" s="25">
        <v>1.2</v>
      </c>
      <c r="BC11" s="26">
        <f t="shared" si="9"/>
        <v>0.6</v>
      </c>
      <c r="BD11" s="132"/>
      <c r="BE11" s="129"/>
      <c r="BF11" s="12">
        <v>0.8</v>
      </c>
      <c r="BG11" s="29">
        <f t="shared" si="10"/>
        <v>0.4</v>
      </c>
      <c r="BH11" s="132"/>
      <c r="BI11" s="129"/>
      <c r="BJ11" s="12">
        <v>0.8</v>
      </c>
      <c r="BK11" s="29">
        <f t="shared" si="11"/>
        <v>0.4</v>
      </c>
      <c r="BL11" s="132"/>
      <c r="BM11" s="129"/>
      <c r="BN11" s="30">
        <f t="shared" si="12"/>
        <v>1.0000000000000002</v>
      </c>
      <c r="BO11" s="31">
        <f t="shared" si="13"/>
        <v>0.50000000000000011</v>
      </c>
      <c r="BP11" s="118"/>
      <c r="BQ11" s="121"/>
    </row>
    <row r="12" spans="1:69" ht="16">
      <c r="A12" s="159"/>
      <c r="B12" s="123"/>
      <c r="C12" s="32" t="s">
        <v>58</v>
      </c>
      <c r="D12" s="34" t="s">
        <v>12</v>
      </c>
      <c r="E12" s="24">
        <v>2</v>
      </c>
      <c r="F12" s="25">
        <v>1</v>
      </c>
      <c r="G12" s="26">
        <f t="shared" si="14"/>
        <v>0.5</v>
      </c>
      <c r="H12" s="161"/>
      <c r="I12" s="142"/>
      <c r="J12" s="25">
        <v>1</v>
      </c>
      <c r="K12" s="27">
        <f t="shared" si="15"/>
        <v>0.5</v>
      </c>
      <c r="L12" s="162"/>
      <c r="M12" s="163"/>
      <c r="N12" s="25">
        <v>1</v>
      </c>
      <c r="O12" s="26">
        <f t="shared" si="0"/>
        <v>0.5</v>
      </c>
      <c r="P12" s="118"/>
      <c r="Q12" s="135"/>
      <c r="R12" s="25">
        <v>1.2</v>
      </c>
      <c r="S12" s="26">
        <f t="shared" si="1"/>
        <v>0.6</v>
      </c>
      <c r="T12" s="118"/>
      <c r="U12" s="135"/>
      <c r="V12" s="25">
        <v>1.2</v>
      </c>
      <c r="W12" s="26">
        <f t="shared" si="16"/>
        <v>0.6</v>
      </c>
      <c r="X12" s="118"/>
      <c r="Y12" s="135"/>
      <c r="Z12" s="25">
        <v>0.8</v>
      </c>
      <c r="AA12" s="26">
        <f t="shared" si="2"/>
        <v>0.4</v>
      </c>
      <c r="AB12" s="118"/>
      <c r="AC12" s="135"/>
      <c r="AD12" s="25">
        <v>1.2</v>
      </c>
      <c r="AE12" s="26">
        <f t="shared" si="3"/>
        <v>0.6</v>
      </c>
      <c r="AF12" s="118"/>
      <c r="AG12" s="135"/>
      <c r="AH12" s="12">
        <v>0.5</v>
      </c>
      <c r="AI12" s="26">
        <f t="shared" si="4"/>
        <v>0.25</v>
      </c>
      <c r="AJ12" s="118"/>
      <c r="AK12" s="135"/>
      <c r="AL12" s="12">
        <v>1</v>
      </c>
      <c r="AM12" s="26">
        <f t="shared" si="5"/>
        <v>0.5</v>
      </c>
      <c r="AN12" s="118"/>
      <c r="AO12" s="135"/>
      <c r="AP12" s="12">
        <v>1.2</v>
      </c>
      <c r="AQ12" s="26">
        <f t="shared" si="6"/>
        <v>0.6</v>
      </c>
      <c r="AR12" s="132"/>
      <c r="AS12" s="129"/>
      <c r="AT12" s="28">
        <v>1.4</v>
      </c>
      <c r="AU12" s="29">
        <f t="shared" si="7"/>
        <v>0.7</v>
      </c>
      <c r="AV12" s="132"/>
      <c r="AW12" s="129"/>
      <c r="AX12" s="25">
        <v>1.4</v>
      </c>
      <c r="AY12" s="29">
        <f t="shared" si="8"/>
        <v>0.7</v>
      </c>
      <c r="AZ12" s="132"/>
      <c r="BA12" s="129"/>
      <c r="BB12" s="25">
        <v>1.4</v>
      </c>
      <c r="BC12" s="26">
        <f t="shared" si="9"/>
        <v>0.7</v>
      </c>
      <c r="BD12" s="132"/>
      <c r="BE12" s="129"/>
      <c r="BF12" s="12">
        <v>1</v>
      </c>
      <c r="BG12" s="29">
        <f t="shared" si="10"/>
        <v>0.5</v>
      </c>
      <c r="BH12" s="132"/>
      <c r="BI12" s="129"/>
      <c r="BJ12" s="12">
        <v>0.8</v>
      </c>
      <c r="BK12" s="29">
        <f t="shared" si="11"/>
        <v>0.4</v>
      </c>
      <c r="BL12" s="132"/>
      <c r="BM12" s="129"/>
      <c r="BN12" s="30">
        <f t="shared" si="12"/>
        <v>1.0733333333333335</v>
      </c>
      <c r="BO12" s="31">
        <f t="shared" si="13"/>
        <v>0.53666666666666674</v>
      </c>
      <c r="BP12" s="118"/>
      <c r="BQ12" s="121"/>
    </row>
    <row r="13" spans="1:69" ht="16">
      <c r="A13" s="159"/>
      <c r="B13" s="123"/>
      <c r="C13" s="32" t="s">
        <v>59</v>
      </c>
      <c r="D13" s="34" t="s">
        <v>118</v>
      </c>
      <c r="E13" s="24">
        <v>2</v>
      </c>
      <c r="F13" s="25">
        <v>1</v>
      </c>
      <c r="G13" s="26">
        <f t="shared" si="14"/>
        <v>0.5</v>
      </c>
      <c r="H13" s="161"/>
      <c r="I13" s="142"/>
      <c r="J13" s="25">
        <v>1</v>
      </c>
      <c r="K13" s="27">
        <f t="shared" si="15"/>
        <v>0.5</v>
      </c>
      <c r="L13" s="162"/>
      <c r="M13" s="163"/>
      <c r="N13" s="25">
        <v>1</v>
      </c>
      <c r="O13" s="26">
        <f t="shared" si="0"/>
        <v>0.5</v>
      </c>
      <c r="P13" s="118"/>
      <c r="Q13" s="135"/>
      <c r="R13" s="25">
        <v>1</v>
      </c>
      <c r="S13" s="26">
        <f t="shared" si="1"/>
        <v>0.5</v>
      </c>
      <c r="T13" s="118"/>
      <c r="U13" s="135"/>
      <c r="V13" s="25">
        <v>1.2</v>
      </c>
      <c r="W13" s="26">
        <f t="shared" si="16"/>
        <v>0.6</v>
      </c>
      <c r="X13" s="118"/>
      <c r="Y13" s="135"/>
      <c r="Z13" s="25">
        <v>1.1000000000000001</v>
      </c>
      <c r="AA13" s="26">
        <f t="shared" si="2"/>
        <v>0.55000000000000004</v>
      </c>
      <c r="AB13" s="118"/>
      <c r="AC13" s="135"/>
      <c r="AD13" s="25">
        <v>1.2</v>
      </c>
      <c r="AE13" s="26">
        <f t="shared" si="3"/>
        <v>0.6</v>
      </c>
      <c r="AF13" s="118"/>
      <c r="AG13" s="135"/>
      <c r="AH13" s="12">
        <v>1</v>
      </c>
      <c r="AI13" s="26">
        <f t="shared" si="4"/>
        <v>0.5</v>
      </c>
      <c r="AJ13" s="118"/>
      <c r="AK13" s="135"/>
      <c r="AL13" s="12">
        <v>1.2</v>
      </c>
      <c r="AM13" s="26">
        <f t="shared" si="5"/>
        <v>0.6</v>
      </c>
      <c r="AN13" s="118"/>
      <c r="AO13" s="135"/>
      <c r="AP13" s="12">
        <v>1.2</v>
      </c>
      <c r="AQ13" s="26">
        <f t="shared" si="6"/>
        <v>0.6</v>
      </c>
      <c r="AR13" s="132"/>
      <c r="AS13" s="129"/>
      <c r="AT13" s="28">
        <v>1.4</v>
      </c>
      <c r="AU13" s="29">
        <f t="shared" si="7"/>
        <v>0.7</v>
      </c>
      <c r="AV13" s="132"/>
      <c r="AW13" s="129"/>
      <c r="AX13" s="25">
        <v>1.2</v>
      </c>
      <c r="AY13" s="29">
        <f t="shared" si="8"/>
        <v>0.6</v>
      </c>
      <c r="AZ13" s="132"/>
      <c r="BA13" s="129"/>
      <c r="BB13" s="25">
        <v>1.2</v>
      </c>
      <c r="BC13" s="26">
        <f t="shared" si="9"/>
        <v>0.6</v>
      </c>
      <c r="BD13" s="132"/>
      <c r="BE13" s="129"/>
      <c r="BF13" s="12">
        <v>1</v>
      </c>
      <c r="BG13" s="29">
        <f t="shared" si="10"/>
        <v>0.5</v>
      </c>
      <c r="BH13" s="132"/>
      <c r="BI13" s="129"/>
      <c r="BJ13" s="12">
        <v>0.6</v>
      </c>
      <c r="BK13" s="29">
        <f t="shared" si="11"/>
        <v>0.3</v>
      </c>
      <c r="BL13" s="132"/>
      <c r="BM13" s="129"/>
      <c r="BN13" s="30">
        <f t="shared" si="12"/>
        <v>1.0866666666666664</v>
      </c>
      <c r="BO13" s="31">
        <f t="shared" si="13"/>
        <v>0.54333333333333322</v>
      </c>
      <c r="BP13" s="118"/>
      <c r="BQ13" s="121"/>
    </row>
    <row r="14" spans="1:69" ht="16">
      <c r="A14" s="159"/>
      <c r="B14" s="123" t="s">
        <v>13</v>
      </c>
      <c r="C14" s="32" t="s">
        <v>60</v>
      </c>
      <c r="D14" s="34" t="s">
        <v>14</v>
      </c>
      <c r="E14" s="24">
        <v>2</v>
      </c>
      <c r="F14" s="25">
        <v>1</v>
      </c>
      <c r="G14" s="26">
        <f t="shared" si="14"/>
        <v>0.5</v>
      </c>
      <c r="H14" s="161"/>
      <c r="I14" s="142"/>
      <c r="J14" s="25">
        <v>1.2</v>
      </c>
      <c r="K14" s="27">
        <f t="shared" si="15"/>
        <v>0.6</v>
      </c>
      <c r="L14" s="162"/>
      <c r="M14" s="163"/>
      <c r="N14" s="25">
        <v>1</v>
      </c>
      <c r="O14" s="26">
        <f t="shared" si="0"/>
        <v>0.5</v>
      </c>
      <c r="P14" s="118"/>
      <c r="Q14" s="135"/>
      <c r="R14" s="25">
        <v>1</v>
      </c>
      <c r="S14" s="26">
        <f t="shared" si="1"/>
        <v>0.5</v>
      </c>
      <c r="T14" s="118"/>
      <c r="U14" s="135"/>
      <c r="V14" s="25">
        <v>1.2</v>
      </c>
      <c r="W14" s="26">
        <f t="shared" si="16"/>
        <v>0.6</v>
      </c>
      <c r="X14" s="118"/>
      <c r="Y14" s="135"/>
      <c r="Z14" s="25">
        <v>1.4</v>
      </c>
      <c r="AA14" s="26">
        <f t="shared" si="2"/>
        <v>0.7</v>
      </c>
      <c r="AB14" s="118"/>
      <c r="AC14" s="135"/>
      <c r="AD14" s="25">
        <v>1.4</v>
      </c>
      <c r="AE14" s="26">
        <f t="shared" si="3"/>
        <v>0.7</v>
      </c>
      <c r="AF14" s="118"/>
      <c r="AG14" s="135"/>
      <c r="AH14" s="12">
        <v>1.4</v>
      </c>
      <c r="AI14" s="26">
        <f t="shared" si="4"/>
        <v>0.7</v>
      </c>
      <c r="AJ14" s="118"/>
      <c r="AK14" s="135"/>
      <c r="AL14" s="12">
        <v>0.8</v>
      </c>
      <c r="AM14" s="26">
        <f t="shared" si="5"/>
        <v>0.4</v>
      </c>
      <c r="AN14" s="118"/>
      <c r="AO14" s="135"/>
      <c r="AP14" s="12">
        <v>1</v>
      </c>
      <c r="AQ14" s="26">
        <f t="shared" si="6"/>
        <v>0.5</v>
      </c>
      <c r="AR14" s="132"/>
      <c r="AS14" s="129"/>
      <c r="AT14" s="28">
        <v>1</v>
      </c>
      <c r="AU14" s="29">
        <f t="shared" si="7"/>
        <v>0.5</v>
      </c>
      <c r="AV14" s="132"/>
      <c r="AW14" s="129"/>
      <c r="AX14" s="25">
        <v>1.2</v>
      </c>
      <c r="AY14" s="29">
        <f t="shared" si="8"/>
        <v>0.6</v>
      </c>
      <c r="AZ14" s="132"/>
      <c r="BA14" s="129"/>
      <c r="BB14" s="25">
        <v>1.2</v>
      </c>
      <c r="BC14" s="26">
        <f t="shared" si="9"/>
        <v>0.6</v>
      </c>
      <c r="BD14" s="132"/>
      <c r="BE14" s="129"/>
      <c r="BF14" s="12">
        <v>1</v>
      </c>
      <c r="BG14" s="29">
        <f t="shared" si="10"/>
        <v>0.5</v>
      </c>
      <c r="BH14" s="132"/>
      <c r="BI14" s="129"/>
      <c r="BJ14" s="12">
        <v>1</v>
      </c>
      <c r="BK14" s="29">
        <f t="shared" si="11"/>
        <v>0.5</v>
      </c>
      <c r="BL14" s="132"/>
      <c r="BM14" s="129"/>
      <c r="BN14" s="30">
        <f t="shared" si="12"/>
        <v>1.1200000000000001</v>
      </c>
      <c r="BO14" s="31">
        <f t="shared" si="13"/>
        <v>0.56000000000000005</v>
      </c>
      <c r="BP14" s="118"/>
      <c r="BQ14" s="121"/>
    </row>
    <row r="15" spans="1:69" ht="16">
      <c r="A15" s="159"/>
      <c r="B15" s="123"/>
      <c r="C15" s="32" t="s">
        <v>61</v>
      </c>
      <c r="D15" s="34" t="s">
        <v>15</v>
      </c>
      <c r="E15" s="24">
        <v>2</v>
      </c>
      <c r="F15" s="25">
        <v>1</v>
      </c>
      <c r="G15" s="26">
        <f t="shared" si="14"/>
        <v>0.5</v>
      </c>
      <c r="H15" s="161"/>
      <c r="I15" s="142"/>
      <c r="J15" s="25">
        <v>1</v>
      </c>
      <c r="K15" s="27">
        <f t="shared" si="15"/>
        <v>0.5</v>
      </c>
      <c r="L15" s="162"/>
      <c r="M15" s="163"/>
      <c r="N15" s="25">
        <v>1</v>
      </c>
      <c r="O15" s="26">
        <f t="shared" si="0"/>
        <v>0.5</v>
      </c>
      <c r="P15" s="118"/>
      <c r="Q15" s="135"/>
      <c r="R15" s="25">
        <v>1</v>
      </c>
      <c r="S15" s="26">
        <f t="shared" si="1"/>
        <v>0.5</v>
      </c>
      <c r="T15" s="118"/>
      <c r="U15" s="135"/>
      <c r="V15" s="25">
        <v>1.2</v>
      </c>
      <c r="W15" s="26">
        <f t="shared" si="16"/>
        <v>0.6</v>
      </c>
      <c r="X15" s="118"/>
      <c r="Y15" s="135"/>
      <c r="Z15" s="25">
        <v>1</v>
      </c>
      <c r="AA15" s="26">
        <f t="shared" si="2"/>
        <v>0.5</v>
      </c>
      <c r="AB15" s="118"/>
      <c r="AC15" s="135"/>
      <c r="AD15" s="25">
        <v>1.2</v>
      </c>
      <c r="AE15" s="26">
        <f t="shared" si="3"/>
        <v>0.6</v>
      </c>
      <c r="AF15" s="118"/>
      <c r="AG15" s="135"/>
      <c r="AH15" s="12">
        <v>1</v>
      </c>
      <c r="AI15" s="26">
        <f t="shared" si="4"/>
        <v>0.5</v>
      </c>
      <c r="AJ15" s="118"/>
      <c r="AK15" s="135"/>
      <c r="AL15" s="12">
        <v>1</v>
      </c>
      <c r="AM15" s="26">
        <f t="shared" si="5"/>
        <v>0.5</v>
      </c>
      <c r="AN15" s="118"/>
      <c r="AO15" s="135"/>
      <c r="AP15" s="12">
        <v>1</v>
      </c>
      <c r="AQ15" s="26">
        <f t="shared" si="6"/>
        <v>0.5</v>
      </c>
      <c r="AR15" s="132"/>
      <c r="AS15" s="129"/>
      <c r="AT15" s="28">
        <v>1.2</v>
      </c>
      <c r="AU15" s="29">
        <f t="shared" si="7"/>
        <v>0.6</v>
      </c>
      <c r="AV15" s="132"/>
      <c r="AW15" s="129"/>
      <c r="AX15" s="25">
        <v>1</v>
      </c>
      <c r="AY15" s="29">
        <f t="shared" si="8"/>
        <v>0.5</v>
      </c>
      <c r="AZ15" s="132"/>
      <c r="BA15" s="129"/>
      <c r="BB15" s="25">
        <v>1</v>
      </c>
      <c r="BC15" s="26">
        <f t="shared" si="9"/>
        <v>0.5</v>
      </c>
      <c r="BD15" s="132"/>
      <c r="BE15" s="129"/>
      <c r="BF15" s="12">
        <v>1</v>
      </c>
      <c r="BG15" s="29">
        <f t="shared" si="10"/>
        <v>0.5</v>
      </c>
      <c r="BH15" s="132"/>
      <c r="BI15" s="129"/>
      <c r="BJ15" s="12">
        <v>1</v>
      </c>
      <c r="BK15" s="29">
        <f t="shared" si="11"/>
        <v>0.5</v>
      </c>
      <c r="BL15" s="132"/>
      <c r="BM15" s="129"/>
      <c r="BN15" s="30">
        <f t="shared" si="12"/>
        <v>1.04</v>
      </c>
      <c r="BO15" s="31">
        <f t="shared" si="13"/>
        <v>0.52</v>
      </c>
      <c r="BP15" s="118"/>
      <c r="BQ15" s="121"/>
    </row>
    <row r="16" spans="1:69" ht="16">
      <c r="A16" s="159"/>
      <c r="B16" s="123"/>
      <c r="C16" s="32" t="s">
        <v>62</v>
      </c>
      <c r="D16" s="34" t="s">
        <v>16</v>
      </c>
      <c r="E16" s="24">
        <v>2</v>
      </c>
      <c r="F16" s="25">
        <v>1</v>
      </c>
      <c r="G16" s="26">
        <f t="shared" si="14"/>
        <v>0.5</v>
      </c>
      <c r="H16" s="161"/>
      <c r="I16" s="142"/>
      <c r="J16" s="25">
        <v>1.2</v>
      </c>
      <c r="K16" s="27">
        <f t="shared" si="15"/>
        <v>0.6</v>
      </c>
      <c r="L16" s="162"/>
      <c r="M16" s="163"/>
      <c r="N16" s="25">
        <v>1.2</v>
      </c>
      <c r="O16" s="26">
        <f t="shared" si="0"/>
        <v>0.6</v>
      </c>
      <c r="P16" s="118"/>
      <c r="Q16" s="135"/>
      <c r="R16" s="25">
        <v>1.2</v>
      </c>
      <c r="S16" s="26">
        <f t="shared" si="1"/>
        <v>0.6</v>
      </c>
      <c r="T16" s="118"/>
      <c r="U16" s="135"/>
      <c r="V16" s="25">
        <v>1.2</v>
      </c>
      <c r="W16" s="26">
        <f t="shared" si="16"/>
        <v>0.6</v>
      </c>
      <c r="X16" s="118"/>
      <c r="Y16" s="135"/>
      <c r="Z16" s="25">
        <v>1</v>
      </c>
      <c r="AA16" s="26">
        <f t="shared" si="2"/>
        <v>0.5</v>
      </c>
      <c r="AB16" s="118"/>
      <c r="AC16" s="135"/>
      <c r="AD16" s="25">
        <v>1.2</v>
      </c>
      <c r="AE16" s="26">
        <f t="shared" si="3"/>
        <v>0.6</v>
      </c>
      <c r="AF16" s="118"/>
      <c r="AG16" s="135"/>
      <c r="AH16" s="12">
        <v>1</v>
      </c>
      <c r="AI16" s="26">
        <f t="shared" si="4"/>
        <v>0.5</v>
      </c>
      <c r="AJ16" s="118"/>
      <c r="AK16" s="135"/>
      <c r="AL16" s="12">
        <v>1.2</v>
      </c>
      <c r="AM16" s="26">
        <f t="shared" si="5"/>
        <v>0.6</v>
      </c>
      <c r="AN16" s="118"/>
      <c r="AO16" s="135"/>
      <c r="AP16" s="12">
        <v>1.1000000000000001</v>
      </c>
      <c r="AQ16" s="26">
        <f t="shared" si="6"/>
        <v>0.55000000000000004</v>
      </c>
      <c r="AR16" s="132"/>
      <c r="AS16" s="129"/>
      <c r="AT16" s="28">
        <v>1.4</v>
      </c>
      <c r="AU16" s="29">
        <f t="shared" si="7"/>
        <v>0.7</v>
      </c>
      <c r="AV16" s="132"/>
      <c r="AW16" s="129"/>
      <c r="AX16" s="25">
        <v>1.2</v>
      </c>
      <c r="AY16" s="29">
        <f t="shared" si="8"/>
        <v>0.6</v>
      </c>
      <c r="AZ16" s="132"/>
      <c r="BA16" s="129"/>
      <c r="BB16" s="25">
        <v>1.2</v>
      </c>
      <c r="BC16" s="26">
        <f t="shared" si="9"/>
        <v>0.6</v>
      </c>
      <c r="BD16" s="132"/>
      <c r="BE16" s="129"/>
      <c r="BF16" s="12">
        <v>1.2</v>
      </c>
      <c r="BG16" s="29">
        <f t="shared" si="10"/>
        <v>0.6</v>
      </c>
      <c r="BH16" s="132"/>
      <c r="BI16" s="129"/>
      <c r="BJ16" s="12">
        <v>1.2</v>
      </c>
      <c r="BK16" s="29">
        <f t="shared" si="11"/>
        <v>0.6</v>
      </c>
      <c r="BL16" s="132"/>
      <c r="BM16" s="129"/>
      <c r="BN16" s="30">
        <f t="shared" si="12"/>
        <v>1.1666666666666665</v>
      </c>
      <c r="BO16" s="31">
        <f t="shared" si="13"/>
        <v>0.58333333333333326</v>
      </c>
      <c r="BP16" s="118"/>
      <c r="BQ16" s="121"/>
    </row>
    <row r="17" spans="1:69" ht="17" thickBot="1">
      <c r="A17" s="160"/>
      <c r="B17" s="124"/>
      <c r="C17" s="35" t="s">
        <v>63</v>
      </c>
      <c r="D17" s="36" t="s">
        <v>17</v>
      </c>
      <c r="E17" s="24">
        <v>2</v>
      </c>
      <c r="F17" s="25">
        <v>1.2</v>
      </c>
      <c r="G17" s="26">
        <f>F17/E17</f>
        <v>0.6</v>
      </c>
      <c r="H17" s="161"/>
      <c r="I17" s="142"/>
      <c r="J17" s="25">
        <v>1.2</v>
      </c>
      <c r="K17" s="27">
        <f>J17/E17</f>
        <v>0.6</v>
      </c>
      <c r="L17" s="162"/>
      <c r="M17" s="163"/>
      <c r="N17" s="25">
        <v>1.2</v>
      </c>
      <c r="O17" s="26">
        <f t="shared" si="0"/>
        <v>0.6</v>
      </c>
      <c r="P17" s="119"/>
      <c r="Q17" s="136"/>
      <c r="R17" s="25">
        <v>1.2</v>
      </c>
      <c r="S17" s="26">
        <f t="shared" si="1"/>
        <v>0.6</v>
      </c>
      <c r="T17" s="119"/>
      <c r="U17" s="136"/>
      <c r="V17" s="25">
        <v>1.2</v>
      </c>
      <c r="W17" s="26">
        <f t="shared" si="16"/>
        <v>0.6</v>
      </c>
      <c r="X17" s="119"/>
      <c r="Y17" s="136"/>
      <c r="Z17" s="25">
        <v>1.2</v>
      </c>
      <c r="AA17" s="26">
        <f t="shared" si="2"/>
        <v>0.6</v>
      </c>
      <c r="AB17" s="119"/>
      <c r="AC17" s="136"/>
      <c r="AD17" s="25">
        <v>1.2</v>
      </c>
      <c r="AE17" s="26">
        <f t="shared" si="3"/>
        <v>0.6</v>
      </c>
      <c r="AF17" s="119"/>
      <c r="AG17" s="136"/>
      <c r="AH17" s="12">
        <v>1.4</v>
      </c>
      <c r="AI17" s="26">
        <f t="shared" si="4"/>
        <v>0.7</v>
      </c>
      <c r="AJ17" s="119"/>
      <c r="AK17" s="136"/>
      <c r="AL17" s="12">
        <v>1</v>
      </c>
      <c r="AM17" s="26">
        <f t="shared" si="5"/>
        <v>0.5</v>
      </c>
      <c r="AN17" s="119"/>
      <c r="AO17" s="136"/>
      <c r="AP17" s="12">
        <v>1</v>
      </c>
      <c r="AQ17" s="26">
        <f t="shared" si="6"/>
        <v>0.5</v>
      </c>
      <c r="AR17" s="133"/>
      <c r="AS17" s="130"/>
      <c r="AT17" s="28">
        <v>1.2</v>
      </c>
      <c r="AU17" s="29">
        <f t="shared" si="7"/>
        <v>0.6</v>
      </c>
      <c r="AV17" s="133"/>
      <c r="AW17" s="130"/>
      <c r="AX17" s="25">
        <v>1.2</v>
      </c>
      <c r="AY17" s="29">
        <f t="shared" si="8"/>
        <v>0.6</v>
      </c>
      <c r="AZ17" s="133"/>
      <c r="BA17" s="130"/>
      <c r="BB17" s="25">
        <v>1.2</v>
      </c>
      <c r="BC17" s="26">
        <f t="shared" si="9"/>
        <v>0.6</v>
      </c>
      <c r="BD17" s="133"/>
      <c r="BE17" s="130"/>
      <c r="BF17" s="12">
        <v>1.4</v>
      </c>
      <c r="BG17" s="29">
        <f t="shared" si="10"/>
        <v>0.7</v>
      </c>
      <c r="BH17" s="133"/>
      <c r="BI17" s="130"/>
      <c r="BJ17" s="12">
        <v>1.4</v>
      </c>
      <c r="BK17" s="29">
        <f t="shared" si="11"/>
        <v>0.7</v>
      </c>
      <c r="BL17" s="133"/>
      <c r="BM17" s="130"/>
      <c r="BN17" s="30">
        <f t="shared" si="12"/>
        <v>1.2133333333333332</v>
      </c>
      <c r="BO17" s="31">
        <f t="shared" si="13"/>
        <v>0.60666666666666658</v>
      </c>
      <c r="BP17" s="119"/>
      <c r="BQ17" s="122"/>
    </row>
    <row r="18" spans="1:69" ht="16">
      <c r="A18" s="150" t="s">
        <v>94</v>
      </c>
      <c r="B18" s="146" t="s">
        <v>18</v>
      </c>
      <c r="C18" s="37" t="s">
        <v>64</v>
      </c>
      <c r="D18" s="23" t="s">
        <v>19</v>
      </c>
      <c r="E18" s="24">
        <v>2</v>
      </c>
      <c r="F18" s="25">
        <v>1</v>
      </c>
      <c r="G18" s="26">
        <f>F18/E18</f>
        <v>0.5</v>
      </c>
      <c r="H18" s="141">
        <f>SUM(F18:F29)</f>
        <v>10.200000000000001</v>
      </c>
      <c r="I18" s="142">
        <f>H18/24</f>
        <v>0.42500000000000004</v>
      </c>
      <c r="J18" s="25">
        <v>1</v>
      </c>
      <c r="K18" s="27">
        <f>J18/E18</f>
        <v>0.5</v>
      </c>
      <c r="L18" s="141">
        <f>SUM(J18:J29)</f>
        <v>12.4</v>
      </c>
      <c r="M18" s="142">
        <f>L18/24</f>
        <v>0.51666666666666672</v>
      </c>
      <c r="N18" s="25">
        <v>1</v>
      </c>
      <c r="O18" s="26">
        <f t="shared" si="0"/>
        <v>0.5</v>
      </c>
      <c r="P18" s="137">
        <f>SUM(N18:N29)</f>
        <v>10.4</v>
      </c>
      <c r="Q18" s="134">
        <f>P18/24</f>
        <v>0.43333333333333335</v>
      </c>
      <c r="R18" s="25">
        <v>1</v>
      </c>
      <c r="S18" s="26">
        <f t="shared" si="1"/>
        <v>0.5</v>
      </c>
      <c r="T18" s="137">
        <f>SUM(R18:R29)</f>
        <v>12.6</v>
      </c>
      <c r="U18" s="134">
        <f>T18/24</f>
        <v>0.52500000000000002</v>
      </c>
      <c r="V18" s="25">
        <v>1</v>
      </c>
      <c r="W18" s="26">
        <f t="shared" si="16"/>
        <v>0.5</v>
      </c>
      <c r="X18" s="137">
        <f>SUM(V18:V29)</f>
        <v>14.799999999999997</v>
      </c>
      <c r="Y18" s="134">
        <f>X18/24</f>
        <v>0.61666666666666659</v>
      </c>
      <c r="Z18" s="25">
        <v>1</v>
      </c>
      <c r="AA18" s="26">
        <f t="shared" si="2"/>
        <v>0.5</v>
      </c>
      <c r="AB18" s="137">
        <f>SUM(Z18:Z29)</f>
        <v>10.6</v>
      </c>
      <c r="AC18" s="134">
        <f>AB18/24</f>
        <v>0.44166666666666665</v>
      </c>
      <c r="AD18" s="25">
        <v>1</v>
      </c>
      <c r="AE18" s="26">
        <f t="shared" si="3"/>
        <v>0.5</v>
      </c>
      <c r="AF18" s="137">
        <f>SUM(AD18:AD29)</f>
        <v>14.499999999999998</v>
      </c>
      <c r="AG18" s="134">
        <f>AF18/24</f>
        <v>0.60416666666666663</v>
      </c>
      <c r="AH18" s="12">
        <v>1</v>
      </c>
      <c r="AI18" s="26">
        <f t="shared" si="4"/>
        <v>0.5</v>
      </c>
      <c r="AJ18" s="137">
        <f>SUM(AH18:AH29)</f>
        <v>10.8</v>
      </c>
      <c r="AK18" s="134">
        <f>AJ18/24</f>
        <v>0.45</v>
      </c>
      <c r="AL18" s="12">
        <v>1</v>
      </c>
      <c r="AM18" s="26">
        <f t="shared" si="5"/>
        <v>0.5</v>
      </c>
      <c r="AN18" s="137">
        <f>SUM(AL18:AL29)</f>
        <v>10.4</v>
      </c>
      <c r="AO18" s="134">
        <f>AN18/24</f>
        <v>0.43333333333333335</v>
      </c>
      <c r="AP18" s="12">
        <v>1</v>
      </c>
      <c r="AQ18" s="26">
        <f t="shared" si="6"/>
        <v>0.5</v>
      </c>
      <c r="AR18" s="131">
        <f>SUM(AP18:AP29)</f>
        <v>13.699999999999998</v>
      </c>
      <c r="AS18" s="128">
        <f>AR18/24</f>
        <v>0.57083333333333319</v>
      </c>
      <c r="AT18" s="28">
        <v>1</v>
      </c>
      <c r="AU18" s="29">
        <f t="shared" si="7"/>
        <v>0.5</v>
      </c>
      <c r="AV18" s="131">
        <f>SUM(AT18:AT29)</f>
        <v>15.2</v>
      </c>
      <c r="AW18" s="128">
        <f>AV18/24</f>
        <v>0.6333333333333333</v>
      </c>
      <c r="AX18" s="25">
        <v>1</v>
      </c>
      <c r="AY18" s="29">
        <f t="shared" si="8"/>
        <v>0.5</v>
      </c>
      <c r="AZ18" s="131">
        <f>SUM(AX18:AX29)</f>
        <v>14.799999999999997</v>
      </c>
      <c r="BA18" s="128">
        <f>AZ18/24</f>
        <v>0.61666666666666659</v>
      </c>
      <c r="BB18" s="25">
        <v>1</v>
      </c>
      <c r="BC18" s="26">
        <f t="shared" si="9"/>
        <v>0.5</v>
      </c>
      <c r="BD18" s="131">
        <f>SUM(BB18:BB29)</f>
        <v>13.799999999999999</v>
      </c>
      <c r="BE18" s="128">
        <f>BD18/24</f>
        <v>0.57499999999999996</v>
      </c>
      <c r="BF18" s="12">
        <v>1</v>
      </c>
      <c r="BG18" s="29">
        <f t="shared" si="10"/>
        <v>0.5</v>
      </c>
      <c r="BH18" s="131">
        <f>SUM(BF18:BF29)</f>
        <v>10.8</v>
      </c>
      <c r="BI18" s="128">
        <f>BH18/24</f>
        <v>0.45</v>
      </c>
      <c r="BJ18" s="12">
        <v>1</v>
      </c>
      <c r="BK18" s="29">
        <f t="shared" si="11"/>
        <v>0.5</v>
      </c>
      <c r="BL18" s="131">
        <f>SUM(BJ18:BJ29)</f>
        <v>10.200000000000001</v>
      </c>
      <c r="BM18" s="128">
        <f>BL18/24</f>
        <v>0.42500000000000004</v>
      </c>
      <c r="BN18" s="30">
        <f t="shared" si="12"/>
        <v>1</v>
      </c>
      <c r="BO18" s="31">
        <f t="shared" si="13"/>
        <v>0.5</v>
      </c>
      <c r="BP18" s="117">
        <f>SUM(BN18:BN29)</f>
        <v>12.346666666666666</v>
      </c>
      <c r="BQ18" s="120">
        <f>BP18/24</f>
        <v>0.51444444444444437</v>
      </c>
    </row>
    <row r="19" spans="1:69" ht="16">
      <c r="A19" s="151"/>
      <c r="B19" s="123"/>
      <c r="C19" s="38" t="s">
        <v>66</v>
      </c>
      <c r="D19" s="34" t="s">
        <v>20</v>
      </c>
      <c r="E19" s="24">
        <v>2</v>
      </c>
      <c r="F19" s="25">
        <v>1.2</v>
      </c>
      <c r="G19" s="26">
        <f>F19/E19</f>
        <v>0.6</v>
      </c>
      <c r="H19" s="141"/>
      <c r="I19" s="142"/>
      <c r="J19" s="25">
        <v>1.2</v>
      </c>
      <c r="K19" s="27">
        <f t="shared" ref="K19:K27" si="17">J19/E19</f>
        <v>0.6</v>
      </c>
      <c r="L19" s="141"/>
      <c r="M19" s="142"/>
      <c r="N19" s="25">
        <v>1.2</v>
      </c>
      <c r="O19" s="26">
        <f t="shared" si="0"/>
        <v>0.6</v>
      </c>
      <c r="P19" s="118"/>
      <c r="Q19" s="135"/>
      <c r="R19" s="25">
        <v>1.2</v>
      </c>
      <c r="S19" s="26">
        <f t="shared" si="1"/>
        <v>0.6</v>
      </c>
      <c r="T19" s="118"/>
      <c r="U19" s="135"/>
      <c r="V19" s="25">
        <v>1.2</v>
      </c>
      <c r="W19" s="26">
        <f t="shared" si="16"/>
        <v>0.6</v>
      </c>
      <c r="X19" s="118"/>
      <c r="Y19" s="135"/>
      <c r="Z19" s="25">
        <v>1.2</v>
      </c>
      <c r="AA19" s="26">
        <f t="shared" si="2"/>
        <v>0.6</v>
      </c>
      <c r="AB19" s="118"/>
      <c r="AC19" s="135"/>
      <c r="AD19" s="25">
        <v>1.2</v>
      </c>
      <c r="AE19" s="26">
        <f t="shared" si="3"/>
        <v>0.6</v>
      </c>
      <c r="AF19" s="118"/>
      <c r="AG19" s="135"/>
      <c r="AH19" s="12">
        <v>1.4</v>
      </c>
      <c r="AI19" s="26">
        <f t="shared" si="4"/>
        <v>0.7</v>
      </c>
      <c r="AJ19" s="118"/>
      <c r="AK19" s="135"/>
      <c r="AL19" s="12">
        <v>1.4</v>
      </c>
      <c r="AM19" s="26">
        <f t="shared" si="5"/>
        <v>0.7</v>
      </c>
      <c r="AN19" s="118"/>
      <c r="AO19" s="135"/>
      <c r="AP19" s="12">
        <v>1.4</v>
      </c>
      <c r="AQ19" s="26">
        <f t="shared" si="6"/>
        <v>0.7</v>
      </c>
      <c r="AR19" s="132"/>
      <c r="AS19" s="129"/>
      <c r="AT19" s="28">
        <v>1.2</v>
      </c>
      <c r="AU19" s="29">
        <f t="shared" si="7"/>
        <v>0.6</v>
      </c>
      <c r="AV19" s="132"/>
      <c r="AW19" s="129"/>
      <c r="AX19" s="25">
        <v>1.2</v>
      </c>
      <c r="AY19" s="29">
        <f t="shared" si="8"/>
        <v>0.6</v>
      </c>
      <c r="AZ19" s="132"/>
      <c r="BA19" s="129"/>
      <c r="BB19" s="25">
        <v>1.2</v>
      </c>
      <c r="BC19" s="26">
        <f t="shared" si="9"/>
        <v>0.6</v>
      </c>
      <c r="BD19" s="132"/>
      <c r="BE19" s="129"/>
      <c r="BF19" s="12">
        <v>1.4</v>
      </c>
      <c r="BG19" s="29">
        <f t="shared" si="10"/>
        <v>0.7</v>
      </c>
      <c r="BH19" s="132"/>
      <c r="BI19" s="129"/>
      <c r="BJ19" s="12">
        <v>1.4</v>
      </c>
      <c r="BK19" s="29">
        <f t="shared" si="11"/>
        <v>0.7</v>
      </c>
      <c r="BL19" s="132"/>
      <c r="BM19" s="129"/>
      <c r="BN19" s="30">
        <f t="shared" si="12"/>
        <v>1.2666666666666664</v>
      </c>
      <c r="BO19" s="31">
        <f t="shared" si="13"/>
        <v>0.63333333333333319</v>
      </c>
      <c r="BP19" s="118"/>
      <c r="BQ19" s="121"/>
    </row>
    <row r="20" spans="1:69" ht="16">
      <c r="A20" s="151"/>
      <c r="B20" s="123"/>
      <c r="C20" s="38" t="s">
        <v>67</v>
      </c>
      <c r="D20" s="34" t="s">
        <v>21</v>
      </c>
      <c r="E20" s="24">
        <v>2</v>
      </c>
      <c r="F20" s="25">
        <v>1</v>
      </c>
      <c r="G20" s="26">
        <f>F20/E20</f>
        <v>0.5</v>
      </c>
      <c r="H20" s="141"/>
      <c r="I20" s="142"/>
      <c r="J20" s="25">
        <v>1</v>
      </c>
      <c r="K20" s="27">
        <f t="shared" si="17"/>
        <v>0.5</v>
      </c>
      <c r="L20" s="141"/>
      <c r="M20" s="142"/>
      <c r="N20" s="25">
        <v>1</v>
      </c>
      <c r="O20" s="26">
        <f t="shared" si="0"/>
        <v>0.5</v>
      </c>
      <c r="P20" s="118"/>
      <c r="Q20" s="135"/>
      <c r="R20" s="25">
        <v>1</v>
      </c>
      <c r="S20" s="26">
        <f t="shared" si="1"/>
        <v>0.5</v>
      </c>
      <c r="T20" s="118"/>
      <c r="U20" s="135"/>
      <c r="V20" s="25">
        <v>1.2</v>
      </c>
      <c r="W20" s="26">
        <f t="shared" si="16"/>
        <v>0.6</v>
      </c>
      <c r="X20" s="118"/>
      <c r="Y20" s="135"/>
      <c r="Z20" s="25">
        <v>1</v>
      </c>
      <c r="AA20" s="26">
        <f t="shared" si="2"/>
        <v>0.5</v>
      </c>
      <c r="AB20" s="118"/>
      <c r="AC20" s="135"/>
      <c r="AD20" s="25">
        <v>1</v>
      </c>
      <c r="AE20" s="26">
        <f t="shared" si="3"/>
        <v>0.5</v>
      </c>
      <c r="AF20" s="118"/>
      <c r="AG20" s="135"/>
      <c r="AH20" s="12">
        <v>1</v>
      </c>
      <c r="AI20" s="26">
        <f t="shared" si="4"/>
        <v>0.5</v>
      </c>
      <c r="AJ20" s="118"/>
      <c r="AK20" s="135"/>
      <c r="AL20" s="12">
        <v>1</v>
      </c>
      <c r="AM20" s="26">
        <f t="shared" si="5"/>
        <v>0.5</v>
      </c>
      <c r="AN20" s="118"/>
      <c r="AO20" s="135"/>
      <c r="AP20" s="12">
        <v>1</v>
      </c>
      <c r="AQ20" s="26">
        <f t="shared" si="6"/>
        <v>0.5</v>
      </c>
      <c r="AR20" s="132"/>
      <c r="AS20" s="129"/>
      <c r="AT20" s="28">
        <v>1.2</v>
      </c>
      <c r="AU20" s="29">
        <f t="shared" si="7"/>
        <v>0.6</v>
      </c>
      <c r="AV20" s="132"/>
      <c r="AW20" s="129"/>
      <c r="AX20" s="25">
        <v>1</v>
      </c>
      <c r="AY20" s="29">
        <f t="shared" si="8"/>
        <v>0.5</v>
      </c>
      <c r="AZ20" s="132"/>
      <c r="BA20" s="129"/>
      <c r="BB20" s="25">
        <v>1</v>
      </c>
      <c r="BC20" s="26">
        <f t="shared" si="9"/>
        <v>0.5</v>
      </c>
      <c r="BD20" s="132"/>
      <c r="BE20" s="129"/>
      <c r="BF20" s="12">
        <v>1</v>
      </c>
      <c r="BG20" s="29">
        <f t="shared" si="10"/>
        <v>0.5</v>
      </c>
      <c r="BH20" s="132"/>
      <c r="BI20" s="129"/>
      <c r="BJ20" s="12">
        <v>1</v>
      </c>
      <c r="BK20" s="29">
        <f t="shared" si="11"/>
        <v>0.5</v>
      </c>
      <c r="BL20" s="132"/>
      <c r="BM20" s="129"/>
      <c r="BN20" s="30">
        <f t="shared" si="12"/>
        <v>1.0266666666666666</v>
      </c>
      <c r="BO20" s="31">
        <f t="shared" si="13"/>
        <v>0.51333333333333331</v>
      </c>
      <c r="BP20" s="118"/>
      <c r="BQ20" s="121"/>
    </row>
    <row r="21" spans="1:69" ht="16">
      <c r="A21" s="151"/>
      <c r="B21" s="123"/>
      <c r="C21" s="38" t="s">
        <v>68</v>
      </c>
      <c r="D21" s="34" t="s">
        <v>22</v>
      </c>
      <c r="E21" s="24">
        <v>2</v>
      </c>
      <c r="F21" s="25">
        <v>1.2</v>
      </c>
      <c r="G21" s="26">
        <f t="shared" ref="G21:G45" si="18">F21/E21</f>
        <v>0.6</v>
      </c>
      <c r="H21" s="141"/>
      <c r="I21" s="142"/>
      <c r="J21" s="25">
        <v>1.2</v>
      </c>
      <c r="K21" s="27">
        <f t="shared" si="17"/>
        <v>0.6</v>
      </c>
      <c r="L21" s="141"/>
      <c r="M21" s="142"/>
      <c r="N21" s="25">
        <v>1.2</v>
      </c>
      <c r="O21" s="26">
        <f t="shared" si="0"/>
        <v>0.6</v>
      </c>
      <c r="P21" s="118"/>
      <c r="Q21" s="135"/>
      <c r="R21" s="25">
        <v>1.2</v>
      </c>
      <c r="S21" s="26">
        <f t="shared" si="1"/>
        <v>0.6</v>
      </c>
      <c r="T21" s="118"/>
      <c r="U21" s="135"/>
      <c r="V21" s="25">
        <v>1.2</v>
      </c>
      <c r="W21" s="26">
        <f t="shared" si="16"/>
        <v>0.6</v>
      </c>
      <c r="X21" s="118"/>
      <c r="Y21" s="135"/>
      <c r="Z21" s="25">
        <v>1</v>
      </c>
      <c r="AA21" s="26">
        <f t="shared" si="2"/>
        <v>0.5</v>
      </c>
      <c r="AB21" s="118"/>
      <c r="AC21" s="135"/>
      <c r="AD21" s="25">
        <v>1.2</v>
      </c>
      <c r="AE21" s="26">
        <f t="shared" si="3"/>
        <v>0.6</v>
      </c>
      <c r="AF21" s="118"/>
      <c r="AG21" s="135"/>
      <c r="AH21" s="12">
        <v>1.2</v>
      </c>
      <c r="AI21" s="26">
        <f t="shared" si="4"/>
        <v>0.6</v>
      </c>
      <c r="AJ21" s="118"/>
      <c r="AK21" s="135"/>
      <c r="AL21" s="12">
        <v>1.4</v>
      </c>
      <c r="AM21" s="26">
        <f t="shared" si="5"/>
        <v>0.7</v>
      </c>
      <c r="AN21" s="118"/>
      <c r="AO21" s="135"/>
      <c r="AP21" s="12">
        <v>1.4</v>
      </c>
      <c r="AQ21" s="26">
        <f t="shared" si="6"/>
        <v>0.7</v>
      </c>
      <c r="AR21" s="132"/>
      <c r="AS21" s="129"/>
      <c r="AT21" s="28">
        <v>1.4</v>
      </c>
      <c r="AU21" s="29">
        <f t="shared" si="7"/>
        <v>0.7</v>
      </c>
      <c r="AV21" s="132"/>
      <c r="AW21" s="129"/>
      <c r="AX21" s="25">
        <v>1.4</v>
      </c>
      <c r="AY21" s="29">
        <f t="shared" si="8"/>
        <v>0.7</v>
      </c>
      <c r="AZ21" s="132"/>
      <c r="BA21" s="129"/>
      <c r="BB21" s="25">
        <v>1.2</v>
      </c>
      <c r="BC21" s="26">
        <f t="shared" si="9"/>
        <v>0.6</v>
      </c>
      <c r="BD21" s="132"/>
      <c r="BE21" s="129"/>
      <c r="BF21" s="12">
        <v>1.2</v>
      </c>
      <c r="BG21" s="29">
        <f t="shared" si="10"/>
        <v>0.6</v>
      </c>
      <c r="BH21" s="132"/>
      <c r="BI21" s="129"/>
      <c r="BJ21" s="12">
        <v>1.2</v>
      </c>
      <c r="BK21" s="29">
        <f t="shared" si="11"/>
        <v>0.6</v>
      </c>
      <c r="BL21" s="132"/>
      <c r="BM21" s="129"/>
      <c r="BN21" s="30">
        <f t="shared" si="12"/>
        <v>1.2399999999999998</v>
      </c>
      <c r="BO21" s="31">
        <f t="shared" si="13"/>
        <v>0.61999999999999988</v>
      </c>
      <c r="BP21" s="118"/>
      <c r="BQ21" s="121"/>
    </row>
    <row r="22" spans="1:69" ht="16">
      <c r="A22" s="151"/>
      <c r="B22" s="147" t="s">
        <v>65</v>
      </c>
      <c r="C22" s="38" t="s">
        <v>69</v>
      </c>
      <c r="D22" s="33" t="s">
        <v>23</v>
      </c>
      <c r="E22" s="24">
        <v>2</v>
      </c>
      <c r="F22" s="25">
        <v>0.5</v>
      </c>
      <c r="G22" s="26">
        <f t="shared" si="18"/>
        <v>0.25</v>
      </c>
      <c r="H22" s="141"/>
      <c r="I22" s="142"/>
      <c r="J22" s="25">
        <v>1</v>
      </c>
      <c r="K22" s="27">
        <f t="shared" si="17"/>
        <v>0.5</v>
      </c>
      <c r="L22" s="141"/>
      <c r="M22" s="142"/>
      <c r="N22" s="25">
        <v>0.5</v>
      </c>
      <c r="O22" s="26">
        <f t="shared" si="0"/>
        <v>0.25</v>
      </c>
      <c r="P22" s="118"/>
      <c r="Q22" s="135"/>
      <c r="R22" s="25">
        <v>1</v>
      </c>
      <c r="S22" s="26">
        <f t="shared" si="1"/>
        <v>0.5</v>
      </c>
      <c r="T22" s="118"/>
      <c r="U22" s="135"/>
      <c r="V22" s="25">
        <v>1.4</v>
      </c>
      <c r="W22" s="26">
        <f t="shared" si="16"/>
        <v>0.7</v>
      </c>
      <c r="X22" s="118"/>
      <c r="Y22" s="135"/>
      <c r="Z22" s="25">
        <v>0.5</v>
      </c>
      <c r="AA22" s="26">
        <f t="shared" si="2"/>
        <v>0.25</v>
      </c>
      <c r="AB22" s="118"/>
      <c r="AC22" s="135"/>
      <c r="AD22" s="25">
        <v>1.4</v>
      </c>
      <c r="AE22" s="26">
        <f t="shared" si="3"/>
        <v>0.7</v>
      </c>
      <c r="AF22" s="118"/>
      <c r="AG22" s="135"/>
      <c r="AH22" s="12">
        <v>0.5</v>
      </c>
      <c r="AI22" s="26">
        <f t="shared" si="4"/>
        <v>0.25</v>
      </c>
      <c r="AJ22" s="118"/>
      <c r="AK22" s="135"/>
      <c r="AL22" s="12">
        <v>0.4</v>
      </c>
      <c r="AM22" s="26">
        <f t="shared" si="5"/>
        <v>0.2</v>
      </c>
      <c r="AN22" s="118"/>
      <c r="AO22" s="135"/>
      <c r="AP22" s="12">
        <v>1.2</v>
      </c>
      <c r="AQ22" s="26">
        <f t="shared" si="6"/>
        <v>0.6</v>
      </c>
      <c r="AR22" s="132"/>
      <c r="AS22" s="129"/>
      <c r="AT22" s="28">
        <v>1.4</v>
      </c>
      <c r="AU22" s="29">
        <f t="shared" si="7"/>
        <v>0.7</v>
      </c>
      <c r="AV22" s="132"/>
      <c r="AW22" s="129"/>
      <c r="AX22" s="25">
        <v>1.4</v>
      </c>
      <c r="AY22" s="29">
        <f t="shared" si="8"/>
        <v>0.7</v>
      </c>
      <c r="AZ22" s="132"/>
      <c r="BA22" s="129"/>
      <c r="BB22" s="25">
        <v>1.2</v>
      </c>
      <c r="BC22" s="26">
        <f t="shared" si="9"/>
        <v>0.6</v>
      </c>
      <c r="BD22" s="132"/>
      <c r="BE22" s="129"/>
      <c r="BF22" s="12">
        <v>0.4</v>
      </c>
      <c r="BG22" s="29">
        <f t="shared" si="10"/>
        <v>0.2</v>
      </c>
      <c r="BH22" s="132"/>
      <c r="BI22" s="129"/>
      <c r="BJ22" s="12">
        <v>0.4</v>
      </c>
      <c r="BK22" s="29">
        <f t="shared" si="11"/>
        <v>0.2</v>
      </c>
      <c r="BL22" s="132"/>
      <c r="BM22" s="129"/>
      <c r="BN22" s="30">
        <f t="shared" si="12"/>
        <v>0.88000000000000012</v>
      </c>
      <c r="BO22" s="31">
        <f t="shared" si="13"/>
        <v>0.44000000000000006</v>
      </c>
      <c r="BP22" s="118"/>
      <c r="BQ22" s="121"/>
    </row>
    <row r="23" spans="1:69" ht="16">
      <c r="A23" s="151"/>
      <c r="B23" s="148"/>
      <c r="C23" s="38" t="s">
        <v>70</v>
      </c>
      <c r="D23" s="34" t="s">
        <v>24</v>
      </c>
      <c r="E23" s="24">
        <v>2</v>
      </c>
      <c r="F23" s="25">
        <v>1</v>
      </c>
      <c r="G23" s="26">
        <f t="shared" si="18"/>
        <v>0.5</v>
      </c>
      <c r="H23" s="141"/>
      <c r="I23" s="142"/>
      <c r="J23" s="25">
        <v>1</v>
      </c>
      <c r="K23" s="27">
        <f t="shared" si="17"/>
        <v>0.5</v>
      </c>
      <c r="L23" s="141"/>
      <c r="M23" s="142"/>
      <c r="N23" s="25">
        <v>1</v>
      </c>
      <c r="O23" s="26">
        <f t="shared" si="0"/>
        <v>0.5</v>
      </c>
      <c r="P23" s="118"/>
      <c r="Q23" s="135"/>
      <c r="R23" s="25">
        <v>1</v>
      </c>
      <c r="S23" s="26">
        <f t="shared" si="1"/>
        <v>0.5</v>
      </c>
      <c r="T23" s="118"/>
      <c r="U23" s="135"/>
      <c r="V23" s="25">
        <v>1.2</v>
      </c>
      <c r="W23" s="26">
        <f t="shared" si="16"/>
        <v>0.6</v>
      </c>
      <c r="X23" s="118"/>
      <c r="Y23" s="135"/>
      <c r="Z23" s="25">
        <v>1</v>
      </c>
      <c r="AA23" s="26">
        <f t="shared" si="2"/>
        <v>0.5</v>
      </c>
      <c r="AB23" s="118"/>
      <c r="AC23" s="135"/>
      <c r="AD23" s="25">
        <v>1.2</v>
      </c>
      <c r="AE23" s="26">
        <f t="shared" si="3"/>
        <v>0.6</v>
      </c>
      <c r="AF23" s="118"/>
      <c r="AG23" s="135"/>
      <c r="AH23" s="12">
        <v>1.2</v>
      </c>
      <c r="AI23" s="26">
        <f t="shared" si="4"/>
        <v>0.6</v>
      </c>
      <c r="AJ23" s="118"/>
      <c r="AK23" s="135"/>
      <c r="AL23" s="12">
        <v>1</v>
      </c>
      <c r="AM23" s="26">
        <f t="shared" si="5"/>
        <v>0.5</v>
      </c>
      <c r="AN23" s="118"/>
      <c r="AO23" s="135"/>
      <c r="AP23" s="12">
        <v>1.1000000000000001</v>
      </c>
      <c r="AQ23" s="26">
        <f t="shared" si="6"/>
        <v>0.55000000000000004</v>
      </c>
      <c r="AR23" s="132"/>
      <c r="AS23" s="129"/>
      <c r="AT23" s="28">
        <v>1.2</v>
      </c>
      <c r="AU23" s="29">
        <f t="shared" si="7"/>
        <v>0.6</v>
      </c>
      <c r="AV23" s="132"/>
      <c r="AW23" s="129"/>
      <c r="AX23" s="25">
        <v>1.2</v>
      </c>
      <c r="AY23" s="29">
        <f t="shared" si="8"/>
        <v>0.6</v>
      </c>
      <c r="AZ23" s="132"/>
      <c r="BA23" s="129"/>
      <c r="BB23" s="25">
        <v>1.2</v>
      </c>
      <c r="BC23" s="26">
        <f t="shared" si="9"/>
        <v>0.6</v>
      </c>
      <c r="BD23" s="132"/>
      <c r="BE23" s="129"/>
      <c r="BF23" s="12">
        <v>1.2</v>
      </c>
      <c r="BG23" s="29">
        <f t="shared" si="10"/>
        <v>0.6</v>
      </c>
      <c r="BH23" s="132"/>
      <c r="BI23" s="129"/>
      <c r="BJ23" s="12">
        <v>1.2</v>
      </c>
      <c r="BK23" s="29">
        <f t="shared" si="11"/>
        <v>0.6</v>
      </c>
      <c r="BL23" s="132"/>
      <c r="BM23" s="129"/>
      <c r="BN23" s="30">
        <f t="shared" si="12"/>
        <v>1.1133333333333331</v>
      </c>
      <c r="BO23" s="31">
        <f t="shared" si="13"/>
        <v>0.55666666666666653</v>
      </c>
      <c r="BP23" s="118"/>
      <c r="BQ23" s="121"/>
    </row>
    <row r="24" spans="1:69" ht="16">
      <c r="A24" s="151"/>
      <c r="B24" s="148"/>
      <c r="C24" s="38" t="s">
        <v>71</v>
      </c>
      <c r="D24" s="34" t="s">
        <v>25</v>
      </c>
      <c r="E24" s="24">
        <v>2</v>
      </c>
      <c r="F24" s="25">
        <v>0.5</v>
      </c>
      <c r="G24" s="26">
        <f t="shared" si="18"/>
        <v>0.25</v>
      </c>
      <c r="H24" s="141"/>
      <c r="I24" s="142"/>
      <c r="J24" s="25">
        <v>1</v>
      </c>
      <c r="K24" s="27">
        <f t="shared" si="17"/>
        <v>0.5</v>
      </c>
      <c r="L24" s="141"/>
      <c r="M24" s="142"/>
      <c r="N24" s="25">
        <v>0.5</v>
      </c>
      <c r="O24" s="26">
        <f t="shared" si="0"/>
        <v>0.25</v>
      </c>
      <c r="P24" s="118"/>
      <c r="Q24" s="135"/>
      <c r="R24" s="25">
        <v>1</v>
      </c>
      <c r="S24" s="26">
        <f t="shared" si="1"/>
        <v>0.5</v>
      </c>
      <c r="T24" s="118"/>
      <c r="U24" s="135"/>
      <c r="V24" s="25">
        <v>1.4</v>
      </c>
      <c r="W24" s="26">
        <f t="shared" ref="W24:W45" si="19">V24/E24</f>
        <v>0.7</v>
      </c>
      <c r="X24" s="118"/>
      <c r="Y24" s="135"/>
      <c r="Z24" s="25">
        <v>0.5</v>
      </c>
      <c r="AA24" s="26">
        <f t="shared" si="2"/>
        <v>0.25</v>
      </c>
      <c r="AB24" s="118"/>
      <c r="AC24" s="135"/>
      <c r="AD24" s="25">
        <v>1.3</v>
      </c>
      <c r="AE24" s="26">
        <f t="shared" si="3"/>
        <v>0.65</v>
      </c>
      <c r="AF24" s="118"/>
      <c r="AG24" s="135"/>
      <c r="AH24" s="12">
        <v>0.4</v>
      </c>
      <c r="AI24" s="26">
        <f t="shared" si="4"/>
        <v>0.2</v>
      </c>
      <c r="AJ24" s="118"/>
      <c r="AK24" s="135"/>
      <c r="AL24" s="12">
        <v>0.4</v>
      </c>
      <c r="AM24" s="26">
        <f t="shared" si="5"/>
        <v>0.2</v>
      </c>
      <c r="AN24" s="118"/>
      <c r="AO24" s="135"/>
      <c r="AP24" s="12">
        <v>1</v>
      </c>
      <c r="AQ24" s="26">
        <f t="shared" si="6"/>
        <v>0.5</v>
      </c>
      <c r="AR24" s="132"/>
      <c r="AS24" s="129"/>
      <c r="AT24" s="28">
        <v>1.4</v>
      </c>
      <c r="AU24" s="29">
        <f t="shared" si="7"/>
        <v>0.7</v>
      </c>
      <c r="AV24" s="132"/>
      <c r="AW24" s="129"/>
      <c r="AX24" s="25">
        <v>1.4</v>
      </c>
      <c r="AY24" s="29">
        <f t="shared" si="8"/>
        <v>0.7</v>
      </c>
      <c r="AZ24" s="132"/>
      <c r="BA24" s="129"/>
      <c r="BB24" s="25">
        <v>1.2</v>
      </c>
      <c r="BC24" s="26">
        <f t="shared" si="9"/>
        <v>0.6</v>
      </c>
      <c r="BD24" s="132"/>
      <c r="BE24" s="129"/>
      <c r="BF24" s="12">
        <v>0.4</v>
      </c>
      <c r="BG24" s="29">
        <f t="shared" si="10"/>
        <v>0.2</v>
      </c>
      <c r="BH24" s="132"/>
      <c r="BI24" s="129"/>
      <c r="BJ24" s="12">
        <v>0.4</v>
      </c>
      <c r="BK24" s="29">
        <f t="shared" si="11"/>
        <v>0.2</v>
      </c>
      <c r="BL24" s="132"/>
      <c r="BM24" s="129"/>
      <c r="BN24" s="30">
        <f t="shared" si="12"/>
        <v>0.85333333333333339</v>
      </c>
      <c r="BO24" s="31">
        <f t="shared" si="13"/>
        <v>0.42666666666666669</v>
      </c>
      <c r="BP24" s="118"/>
      <c r="BQ24" s="121"/>
    </row>
    <row r="25" spans="1:69" ht="16">
      <c r="A25" s="151"/>
      <c r="B25" s="149"/>
      <c r="C25" s="38" t="s">
        <v>72</v>
      </c>
      <c r="D25" s="33" t="s">
        <v>26</v>
      </c>
      <c r="E25" s="24">
        <v>2</v>
      </c>
      <c r="F25" s="25">
        <v>0.5</v>
      </c>
      <c r="G25" s="26">
        <f t="shared" si="18"/>
        <v>0.25</v>
      </c>
      <c r="H25" s="141"/>
      <c r="I25" s="142"/>
      <c r="J25" s="25">
        <v>1</v>
      </c>
      <c r="K25" s="27">
        <f t="shared" si="17"/>
        <v>0.5</v>
      </c>
      <c r="L25" s="141"/>
      <c r="M25" s="142"/>
      <c r="N25" s="25">
        <v>0.5</v>
      </c>
      <c r="O25" s="26">
        <f t="shared" si="0"/>
        <v>0.25</v>
      </c>
      <c r="P25" s="118"/>
      <c r="Q25" s="135"/>
      <c r="R25" s="25">
        <v>1</v>
      </c>
      <c r="S25" s="26">
        <f t="shared" si="1"/>
        <v>0.5</v>
      </c>
      <c r="T25" s="118"/>
      <c r="U25" s="135"/>
      <c r="V25" s="25">
        <v>1.4</v>
      </c>
      <c r="W25" s="26">
        <f t="shared" si="19"/>
        <v>0.7</v>
      </c>
      <c r="X25" s="118"/>
      <c r="Y25" s="135"/>
      <c r="Z25" s="25">
        <v>0.5</v>
      </c>
      <c r="AA25" s="26">
        <f t="shared" si="2"/>
        <v>0.25</v>
      </c>
      <c r="AB25" s="118"/>
      <c r="AC25" s="135"/>
      <c r="AD25" s="25">
        <v>1.4</v>
      </c>
      <c r="AE25" s="26">
        <f t="shared" si="3"/>
        <v>0.7</v>
      </c>
      <c r="AF25" s="118"/>
      <c r="AG25" s="135"/>
      <c r="AH25" s="12">
        <v>0.5</v>
      </c>
      <c r="AI25" s="26">
        <f t="shared" si="4"/>
        <v>0.25</v>
      </c>
      <c r="AJ25" s="118"/>
      <c r="AK25" s="135"/>
      <c r="AL25" s="12">
        <v>0.4</v>
      </c>
      <c r="AM25" s="26">
        <f t="shared" si="5"/>
        <v>0.2</v>
      </c>
      <c r="AN25" s="118"/>
      <c r="AO25" s="135"/>
      <c r="AP25" s="12">
        <v>1.2</v>
      </c>
      <c r="AQ25" s="26">
        <f t="shared" si="6"/>
        <v>0.6</v>
      </c>
      <c r="AR25" s="132"/>
      <c r="AS25" s="129"/>
      <c r="AT25" s="28">
        <v>1.4</v>
      </c>
      <c r="AU25" s="29">
        <f t="shared" si="7"/>
        <v>0.7</v>
      </c>
      <c r="AV25" s="132"/>
      <c r="AW25" s="129"/>
      <c r="AX25" s="25">
        <v>1.4</v>
      </c>
      <c r="AY25" s="29">
        <f t="shared" si="8"/>
        <v>0.7</v>
      </c>
      <c r="AZ25" s="132"/>
      <c r="BA25" s="129"/>
      <c r="BB25" s="25">
        <v>1.4</v>
      </c>
      <c r="BC25" s="26">
        <f t="shared" si="9"/>
        <v>0.7</v>
      </c>
      <c r="BD25" s="132"/>
      <c r="BE25" s="129"/>
      <c r="BF25" s="12">
        <v>0.4</v>
      </c>
      <c r="BG25" s="29">
        <f t="shared" si="10"/>
        <v>0.2</v>
      </c>
      <c r="BH25" s="132"/>
      <c r="BI25" s="129"/>
      <c r="BJ25" s="12">
        <v>0.4</v>
      </c>
      <c r="BK25" s="29">
        <f t="shared" si="11"/>
        <v>0.2</v>
      </c>
      <c r="BL25" s="132"/>
      <c r="BM25" s="129"/>
      <c r="BN25" s="30">
        <f t="shared" si="12"/>
        <v>0.89333333333333342</v>
      </c>
      <c r="BO25" s="31">
        <f t="shared" si="13"/>
        <v>0.44666666666666671</v>
      </c>
      <c r="BP25" s="118"/>
      <c r="BQ25" s="121"/>
    </row>
    <row r="26" spans="1:69" ht="16">
      <c r="A26" s="151"/>
      <c r="B26" s="123" t="s">
        <v>27</v>
      </c>
      <c r="C26" s="38" t="s">
        <v>73</v>
      </c>
      <c r="D26" s="33" t="s">
        <v>28</v>
      </c>
      <c r="E26" s="24">
        <v>2</v>
      </c>
      <c r="F26" s="25">
        <v>1</v>
      </c>
      <c r="G26" s="26">
        <f t="shared" si="18"/>
        <v>0.5</v>
      </c>
      <c r="H26" s="141"/>
      <c r="I26" s="142"/>
      <c r="J26" s="25">
        <v>1</v>
      </c>
      <c r="K26" s="27">
        <f t="shared" si="17"/>
        <v>0.5</v>
      </c>
      <c r="L26" s="141"/>
      <c r="M26" s="142"/>
      <c r="N26" s="25">
        <v>1</v>
      </c>
      <c r="O26" s="26">
        <f t="shared" si="0"/>
        <v>0.5</v>
      </c>
      <c r="P26" s="118"/>
      <c r="Q26" s="135"/>
      <c r="R26" s="25">
        <v>1</v>
      </c>
      <c r="S26" s="26">
        <f t="shared" si="1"/>
        <v>0.5</v>
      </c>
      <c r="T26" s="118"/>
      <c r="U26" s="135"/>
      <c r="V26" s="25">
        <v>1.2</v>
      </c>
      <c r="W26" s="26">
        <f t="shared" si="19"/>
        <v>0.6</v>
      </c>
      <c r="X26" s="118"/>
      <c r="Y26" s="135"/>
      <c r="Z26" s="25">
        <v>1.2</v>
      </c>
      <c r="AA26" s="26">
        <f t="shared" si="2"/>
        <v>0.6</v>
      </c>
      <c r="AB26" s="118"/>
      <c r="AC26" s="135"/>
      <c r="AD26" s="25">
        <v>1.2</v>
      </c>
      <c r="AE26" s="26">
        <f t="shared" si="3"/>
        <v>0.6</v>
      </c>
      <c r="AF26" s="118"/>
      <c r="AG26" s="135"/>
      <c r="AH26" s="12">
        <v>0.8</v>
      </c>
      <c r="AI26" s="26">
        <f t="shared" si="4"/>
        <v>0.4</v>
      </c>
      <c r="AJ26" s="118"/>
      <c r="AK26" s="135"/>
      <c r="AL26" s="12">
        <v>1.4</v>
      </c>
      <c r="AM26" s="26">
        <f t="shared" si="5"/>
        <v>0.7</v>
      </c>
      <c r="AN26" s="118"/>
      <c r="AO26" s="135"/>
      <c r="AP26" s="12">
        <v>1.2</v>
      </c>
      <c r="AQ26" s="26">
        <f t="shared" si="6"/>
        <v>0.6</v>
      </c>
      <c r="AR26" s="132"/>
      <c r="AS26" s="129"/>
      <c r="AT26" s="28">
        <v>1.4</v>
      </c>
      <c r="AU26" s="29">
        <f t="shared" si="7"/>
        <v>0.7</v>
      </c>
      <c r="AV26" s="132"/>
      <c r="AW26" s="129"/>
      <c r="AX26" s="25">
        <v>1.2</v>
      </c>
      <c r="AY26" s="29">
        <f t="shared" si="8"/>
        <v>0.6</v>
      </c>
      <c r="AZ26" s="132"/>
      <c r="BA26" s="129"/>
      <c r="BB26" s="25">
        <v>1.2</v>
      </c>
      <c r="BC26" s="26">
        <f t="shared" si="9"/>
        <v>0.6</v>
      </c>
      <c r="BD26" s="132"/>
      <c r="BE26" s="129"/>
      <c r="BF26" s="12">
        <v>1</v>
      </c>
      <c r="BG26" s="29">
        <f t="shared" si="10"/>
        <v>0.5</v>
      </c>
      <c r="BH26" s="132"/>
      <c r="BI26" s="129"/>
      <c r="BJ26" s="12">
        <v>1</v>
      </c>
      <c r="BK26" s="29">
        <f t="shared" si="11"/>
        <v>0.5</v>
      </c>
      <c r="BL26" s="132"/>
      <c r="BM26" s="129"/>
      <c r="BN26" s="30">
        <f t="shared" si="12"/>
        <v>1.1199999999999999</v>
      </c>
      <c r="BO26" s="31">
        <f t="shared" si="13"/>
        <v>0.55999999999999994</v>
      </c>
      <c r="BP26" s="118"/>
      <c r="BQ26" s="121"/>
    </row>
    <row r="27" spans="1:69" ht="16">
      <c r="A27" s="151"/>
      <c r="B27" s="123"/>
      <c r="C27" s="38" t="s">
        <v>74</v>
      </c>
      <c r="D27" s="33" t="s">
        <v>29</v>
      </c>
      <c r="E27" s="24">
        <v>2</v>
      </c>
      <c r="F27" s="25">
        <v>0.5</v>
      </c>
      <c r="G27" s="26">
        <f t="shared" si="18"/>
        <v>0.25</v>
      </c>
      <c r="H27" s="141"/>
      <c r="I27" s="142"/>
      <c r="J27" s="25">
        <v>1</v>
      </c>
      <c r="K27" s="27">
        <f t="shared" si="17"/>
        <v>0.5</v>
      </c>
      <c r="L27" s="141"/>
      <c r="M27" s="142"/>
      <c r="N27" s="25">
        <v>0.5</v>
      </c>
      <c r="O27" s="26">
        <f t="shared" si="0"/>
        <v>0.25</v>
      </c>
      <c r="P27" s="118"/>
      <c r="Q27" s="135"/>
      <c r="R27" s="25">
        <v>1</v>
      </c>
      <c r="S27" s="26">
        <f t="shared" si="1"/>
        <v>0.5</v>
      </c>
      <c r="T27" s="118"/>
      <c r="U27" s="135"/>
      <c r="V27" s="25">
        <v>1.2</v>
      </c>
      <c r="W27" s="26">
        <f t="shared" si="19"/>
        <v>0.6</v>
      </c>
      <c r="X27" s="118"/>
      <c r="Y27" s="135"/>
      <c r="Z27" s="25">
        <v>0.5</v>
      </c>
      <c r="AA27" s="26">
        <f t="shared" si="2"/>
        <v>0.25</v>
      </c>
      <c r="AB27" s="118"/>
      <c r="AC27" s="135"/>
      <c r="AD27" s="25">
        <v>1.2</v>
      </c>
      <c r="AE27" s="26">
        <f t="shared" si="3"/>
        <v>0.6</v>
      </c>
      <c r="AF27" s="118"/>
      <c r="AG27" s="135"/>
      <c r="AH27" s="12">
        <v>0.8</v>
      </c>
      <c r="AI27" s="26">
        <f t="shared" si="4"/>
        <v>0.4</v>
      </c>
      <c r="AJ27" s="118"/>
      <c r="AK27" s="135"/>
      <c r="AL27" s="12">
        <v>0.6</v>
      </c>
      <c r="AM27" s="26">
        <f t="shared" si="5"/>
        <v>0.3</v>
      </c>
      <c r="AN27" s="118"/>
      <c r="AO27" s="135"/>
      <c r="AP27" s="12">
        <v>1</v>
      </c>
      <c r="AQ27" s="26">
        <f t="shared" si="6"/>
        <v>0.5</v>
      </c>
      <c r="AR27" s="132"/>
      <c r="AS27" s="129"/>
      <c r="AT27" s="28">
        <v>1.2</v>
      </c>
      <c r="AU27" s="29">
        <f t="shared" si="7"/>
        <v>0.6</v>
      </c>
      <c r="AV27" s="132"/>
      <c r="AW27" s="129"/>
      <c r="AX27" s="25">
        <v>1.2</v>
      </c>
      <c r="AY27" s="29">
        <f t="shared" si="8"/>
        <v>0.6</v>
      </c>
      <c r="AZ27" s="132"/>
      <c r="BA27" s="129"/>
      <c r="BB27" s="25">
        <v>1</v>
      </c>
      <c r="BC27" s="26">
        <f t="shared" si="9"/>
        <v>0.5</v>
      </c>
      <c r="BD27" s="132"/>
      <c r="BE27" s="129"/>
      <c r="BF27" s="12">
        <v>0.8</v>
      </c>
      <c r="BG27" s="29">
        <f t="shared" si="10"/>
        <v>0.4</v>
      </c>
      <c r="BH27" s="132"/>
      <c r="BI27" s="129"/>
      <c r="BJ27" s="12">
        <v>0.4</v>
      </c>
      <c r="BK27" s="29">
        <f t="shared" si="11"/>
        <v>0.2</v>
      </c>
      <c r="BL27" s="132"/>
      <c r="BM27" s="129"/>
      <c r="BN27" s="30">
        <f t="shared" si="12"/>
        <v>0.86</v>
      </c>
      <c r="BO27" s="31">
        <f t="shared" si="13"/>
        <v>0.43</v>
      </c>
      <c r="BP27" s="118"/>
      <c r="BQ27" s="121"/>
    </row>
    <row r="28" spans="1:69" ht="16">
      <c r="A28" s="151"/>
      <c r="B28" s="123"/>
      <c r="C28" s="38" t="s">
        <v>75</v>
      </c>
      <c r="D28" s="33" t="s">
        <v>30</v>
      </c>
      <c r="E28" s="24">
        <v>2</v>
      </c>
      <c r="F28" s="25">
        <v>1</v>
      </c>
      <c r="G28" s="26">
        <f t="shared" si="18"/>
        <v>0.5</v>
      </c>
      <c r="H28" s="141"/>
      <c r="I28" s="142"/>
      <c r="J28" s="25">
        <v>1</v>
      </c>
      <c r="K28" s="27">
        <f>J28/E28</f>
        <v>0.5</v>
      </c>
      <c r="L28" s="141"/>
      <c r="M28" s="142"/>
      <c r="N28" s="25">
        <v>1.2</v>
      </c>
      <c r="O28" s="26">
        <f t="shared" si="0"/>
        <v>0.6</v>
      </c>
      <c r="P28" s="118"/>
      <c r="Q28" s="135"/>
      <c r="R28" s="25">
        <v>1.2</v>
      </c>
      <c r="S28" s="26">
        <f t="shared" si="1"/>
        <v>0.6</v>
      </c>
      <c r="T28" s="118"/>
      <c r="U28" s="135"/>
      <c r="V28" s="25">
        <v>1.2</v>
      </c>
      <c r="W28" s="26">
        <f t="shared" si="19"/>
        <v>0.6</v>
      </c>
      <c r="X28" s="118"/>
      <c r="Y28" s="135"/>
      <c r="Z28" s="25">
        <v>1.2</v>
      </c>
      <c r="AA28" s="26">
        <f t="shared" si="2"/>
        <v>0.6</v>
      </c>
      <c r="AB28" s="118"/>
      <c r="AC28" s="135"/>
      <c r="AD28" s="25">
        <v>1.2</v>
      </c>
      <c r="AE28" s="26">
        <f t="shared" si="3"/>
        <v>0.6</v>
      </c>
      <c r="AF28" s="118"/>
      <c r="AG28" s="135"/>
      <c r="AH28" s="12">
        <v>1.2</v>
      </c>
      <c r="AI28" s="26">
        <f t="shared" si="4"/>
        <v>0.6</v>
      </c>
      <c r="AJ28" s="118"/>
      <c r="AK28" s="135"/>
      <c r="AL28" s="12">
        <v>1</v>
      </c>
      <c r="AM28" s="26">
        <f t="shared" si="5"/>
        <v>0.5</v>
      </c>
      <c r="AN28" s="118"/>
      <c r="AO28" s="135"/>
      <c r="AP28" s="12">
        <v>1.2</v>
      </c>
      <c r="AQ28" s="26">
        <f t="shared" si="6"/>
        <v>0.6</v>
      </c>
      <c r="AR28" s="132"/>
      <c r="AS28" s="129"/>
      <c r="AT28" s="28">
        <v>1.2</v>
      </c>
      <c r="AU28" s="29">
        <f t="shared" si="7"/>
        <v>0.6</v>
      </c>
      <c r="AV28" s="132"/>
      <c r="AW28" s="129"/>
      <c r="AX28" s="25">
        <v>1.2</v>
      </c>
      <c r="AY28" s="29">
        <f t="shared" si="8"/>
        <v>0.6</v>
      </c>
      <c r="AZ28" s="132"/>
      <c r="BA28" s="129"/>
      <c r="BB28" s="25">
        <v>1.2</v>
      </c>
      <c r="BC28" s="26">
        <f t="shared" si="9"/>
        <v>0.6</v>
      </c>
      <c r="BD28" s="132"/>
      <c r="BE28" s="129"/>
      <c r="BF28" s="12">
        <v>1.2</v>
      </c>
      <c r="BG28" s="29">
        <f t="shared" si="10"/>
        <v>0.6</v>
      </c>
      <c r="BH28" s="132"/>
      <c r="BI28" s="129"/>
      <c r="BJ28" s="12">
        <v>1</v>
      </c>
      <c r="BK28" s="29">
        <f t="shared" si="11"/>
        <v>0.5</v>
      </c>
      <c r="BL28" s="132"/>
      <c r="BM28" s="129"/>
      <c r="BN28" s="30">
        <f t="shared" si="12"/>
        <v>1.1466666666666663</v>
      </c>
      <c r="BO28" s="31">
        <f t="shared" si="13"/>
        <v>0.57333333333333314</v>
      </c>
      <c r="BP28" s="118"/>
      <c r="BQ28" s="121"/>
    </row>
    <row r="29" spans="1:69" ht="17" thickBot="1">
      <c r="A29" s="152"/>
      <c r="B29" s="124"/>
      <c r="C29" s="39" t="s">
        <v>76</v>
      </c>
      <c r="D29" s="40" t="s">
        <v>31</v>
      </c>
      <c r="E29" s="24">
        <v>2</v>
      </c>
      <c r="F29" s="25">
        <v>0.8</v>
      </c>
      <c r="G29" s="26">
        <f t="shared" si="18"/>
        <v>0.4</v>
      </c>
      <c r="H29" s="141"/>
      <c r="I29" s="142"/>
      <c r="J29" s="25">
        <v>1</v>
      </c>
      <c r="K29" s="27">
        <f>J29/E29</f>
        <v>0.5</v>
      </c>
      <c r="L29" s="141"/>
      <c r="M29" s="142"/>
      <c r="N29" s="25">
        <v>0.8</v>
      </c>
      <c r="O29" s="26">
        <f t="shared" si="0"/>
        <v>0.4</v>
      </c>
      <c r="P29" s="119"/>
      <c r="Q29" s="136"/>
      <c r="R29" s="25">
        <v>1</v>
      </c>
      <c r="S29" s="26">
        <f t="shared" si="1"/>
        <v>0.5</v>
      </c>
      <c r="T29" s="119"/>
      <c r="U29" s="136"/>
      <c r="V29" s="25">
        <v>1.2</v>
      </c>
      <c r="W29" s="26">
        <f t="shared" si="19"/>
        <v>0.6</v>
      </c>
      <c r="X29" s="119"/>
      <c r="Y29" s="136"/>
      <c r="Z29" s="25">
        <v>1</v>
      </c>
      <c r="AA29" s="26">
        <f t="shared" si="2"/>
        <v>0.5</v>
      </c>
      <c r="AB29" s="119"/>
      <c r="AC29" s="136"/>
      <c r="AD29" s="25">
        <v>1.2</v>
      </c>
      <c r="AE29" s="26">
        <f t="shared" si="3"/>
        <v>0.6</v>
      </c>
      <c r="AF29" s="119"/>
      <c r="AG29" s="136"/>
      <c r="AH29" s="12">
        <v>0.8</v>
      </c>
      <c r="AI29" s="26">
        <f t="shared" si="4"/>
        <v>0.4</v>
      </c>
      <c r="AJ29" s="119"/>
      <c r="AK29" s="136"/>
      <c r="AL29" s="12">
        <v>0.4</v>
      </c>
      <c r="AM29" s="26">
        <f t="shared" si="5"/>
        <v>0.2</v>
      </c>
      <c r="AN29" s="119"/>
      <c r="AO29" s="136"/>
      <c r="AP29" s="12">
        <v>1</v>
      </c>
      <c r="AQ29" s="26">
        <f t="shared" si="6"/>
        <v>0.5</v>
      </c>
      <c r="AR29" s="133"/>
      <c r="AS29" s="130"/>
      <c r="AT29" s="28">
        <v>1.2</v>
      </c>
      <c r="AU29" s="29">
        <f t="shared" si="7"/>
        <v>0.6</v>
      </c>
      <c r="AV29" s="133"/>
      <c r="AW29" s="130"/>
      <c r="AX29" s="25">
        <v>1.2</v>
      </c>
      <c r="AY29" s="29">
        <f t="shared" si="8"/>
        <v>0.6</v>
      </c>
      <c r="AZ29" s="133"/>
      <c r="BA29" s="130"/>
      <c r="BB29" s="25">
        <v>1</v>
      </c>
      <c r="BC29" s="26">
        <f t="shared" si="9"/>
        <v>0.5</v>
      </c>
      <c r="BD29" s="133"/>
      <c r="BE29" s="130"/>
      <c r="BF29" s="12">
        <v>0.8</v>
      </c>
      <c r="BG29" s="29">
        <f t="shared" si="10"/>
        <v>0.4</v>
      </c>
      <c r="BH29" s="133"/>
      <c r="BI29" s="130"/>
      <c r="BJ29" s="12">
        <v>0.8</v>
      </c>
      <c r="BK29" s="29">
        <f t="shared" si="11"/>
        <v>0.4</v>
      </c>
      <c r="BL29" s="133"/>
      <c r="BM29" s="130"/>
      <c r="BN29" s="30">
        <f t="shared" si="12"/>
        <v>0.94666666666666666</v>
      </c>
      <c r="BO29" s="31">
        <f t="shared" si="13"/>
        <v>0.47333333333333333</v>
      </c>
      <c r="BP29" s="119"/>
      <c r="BQ29" s="122"/>
    </row>
    <row r="30" spans="1:69" ht="16">
      <c r="A30" s="143" t="s">
        <v>95</v>
      </c>
      <c r="B30" s="146" t="s">
        <v>32</v>
      </c>
      <c r="C30" s="41" t="s">
        <v>77</v>
      </c>
      <c r="D30" s="23" t="s">
        <v>33</v>
      </c>
      <c r="E30" s="24">
        <v>2</v>
      </c>
      <c r="F30" s="25">
        <v>1</v>
      </c>
      <c r="G30" s="26">
        <f t="shared" si="18"/>
        <v>0.5</v>
      </c>
      <c r="H30" s="141">
        <f>SUM(F30:F41)</f>
        <v>14.699999999999998</v>
      </c>
      <c r="I30" s="142">
        <f>H30/24</f>
        <v>0.61249999999999993</v>
      </c>
      <c r="J30" s="25">
        <v>1</v>
      </c>
      <c r="K30" s="27">
        <f>J30/E30</f>
        <v>0.5</v>
      </c>
      <c r="L30" s="141">
        <f>SUM(J30:J41)</f>
        <v>14.699999999999998</v>
      </c>
      <c r="M30" s="142">
        <f>L30/24</f>
        <v>0.61249999999999993</v>
      </c>
      <c r="N30" s="25">
        <v>1</v>
      </c>
      <c r="O30" s="26">
        <f t="shared" si="0"/>
        <v>0.5</v>
      </c>
      <c r="P30" s="137">
        <f>SUM(N30:N41)</f>
        <v>13.6</v>
      </c>
      <c r="Q30" s="134">
        <f>P30/24</f>
        <v>0.56666666666666665</v>
      </c>
      <c r="R30" s="25">
        <v>1</v>
      </c>
      <c r="S30" s="26">
        <f t="shared" si="1"/>
        <v>0.5</v>
      </c>
      <c r="T30" s="137">
        <f>SUM(R30:R41)</f>
        <v>13.6</v>
      </c>
      <c r="U30" s="134">
        <f>T30/24</f>
        <v>0.56666666666666665</v>
      </c>
      <c r="V30" s="25">
        <v>1</v>
      </c>
      <c r="W30" s="26">
        <f t="shared" si="19"/>
        <v>0.5</v>
      </c>
      <c r="X30" s="137">
        <f>SUM(V30:V41)</f>
        <v>14.999999999999998</v>
      </c>
      <c r="Y30" s="134">
        <f>X30/24</f>
        <v>0.62499999999999989</v>
      </c>
      <c r="Z30" s="25">
        <v>1</v>
      </c>
      <c r="AA30" s="26">
        <f t="shared" si="2"/>
        <v>0.5</v>
      </c>
      <c r="AB30" s="137">
        <f>SUM(Z30:Z41)</f>
        <v>12.799999999999999</v>
      </c>
      <c r="AC30" s="134">
        <f>AB30/24</f>
        <v>0.53333333333333333</v>
      </c>
      <c r="AD30" s="25">
        <v>1</v>
      </c>
      <c r="AE30" s="26">
        <f t="shared" si="3"/>
        <v>0.5</v>
      </c>
      <c r="AF30" s="137">
        <f>SUM(AD30:AD41)</f>
        <v>14.199999999999998</v>
      </c>
      <c r="AG30" s="134">
        <f>AF30/24</f>
        <v>0.59166666666666656</v>
      </c>
      <c r="AH30" s="12">
        <v>1</v>
      </c>
      <c r="AI30" s="26">
        <f t="shared" si="4"/>
        <v>0.5</v>
      </c>
      <c r="AJ30" s="137">
        <f>SUM(AH30:AH41)</f>
        <v>12.1</v>
      </c>
      <c r="AK30" s="134">
        <f>AJ30/24</f>
        <v>0.50416666666666665</v>
      </c>
      <c r="AL30" s="12">
        <v>1</v>
      </c>
      <c r="AM30" s="26">
        <f t="shared" si="5"/>
        <v>0.5</v>
      </c>
      <c r="AN30" s="137">
        <f>SUM(AL30:AL41)</f>
        <v>12.4</v>
      </c>
      <c r="AO30" s="134">
        <f>AN30/24</f>
        <v>0.51666666666666672</v>
      </c>
      <c r="AP30" s="12">
        <v>1</v>
      </c>
      <c r="AQ30" s="26">
        <f t="shared" si="6"/>
        <v>0.5</v>
      </c>
      <c r="AR30" s="131">
        <f>SUM(AP30:AP41)</f>
        <v>12.6</v>
      </c>
      <c r="AS30" s="128">
        <f>AR30/24</f>
        <v>0.52500000000000002</v>
      </c>
      <c r="AT30" s="28">
        <v>1</v>
      </c>
      <c r="AU30" s="29">
        <f t="shared" si="7"/>
        <v>0.5</v>
      </c>
      <c r="AV30" s="131">
        <f>SUM(AT30:AT41)</f>
        <v>13.999999999999998</v>
      </c>
      <c r="AW30" s="128">
        <f>AV30/24</f>
        <v>0.58333333333333326</v>
      </c>
      <c r="AX30" s="25">
        <v>1</v>
      </c>
      <c r="AY30" s="29">
        <f t="shared" si="8"/>
        <v>0.5</v>
      </c>
      <c r="AZ30" s="131">
        <f>SUM(AX30:AX41)</f>
        <v>14.4</v>
      </c>
      <c r="BA30" s="128">
        <f>AZ30/24</f>
        <v>0.6</v>
      </c>
      <c r="BB30" s="25">
        <v>1</v>
      </c>
      <c r="BC30" s="26">
        <f t="shared" si="9"/>
        <v>0.5</v>
      </c>
      <c r="BD30" s="131">
        <f>SUM(BB30:BB41)</f>
        <v>13.799999999999999</v>
      </c>
      <c r="BE30" s="128">
        <f>BD30/24</f>
        <v>0.57499999999999996</v>
      </c>
      <c r="BF30" s="12">
        <v>1</v>
      </c>
      <c r="BG30" s="29">
        <f t="shared" si="10"/>
        <v>0.5</v>
      </c>
      <c r="BH30" s="131">
        <f>SUM(BF30:BF41)</f>
        <v>12.299999999999999</v>
      </c>
      <c r="BI30" s="128">
        <f>BH30/24</f>
        <v>0.51249999999999996</v>
      </c>
      <c r="BJ30" s="12">
        <v>1</v>
      </c>
      <c r="BK30" s="29">
        <f t="shared" si="11"/>
        <v>0.5</v>
      </c>
      <c r="BL30" s="131">
        <f>SUM(BJ30:BJ41)</f>
        <v>11.700000000000001</v>
      </c>
      <c r="BM30" s="128">
        <f>BL30/24</f>
        <v>0.48750000000000004</v>
      </c>
      <c r="BN30" s="30">
        <f t="shared" si="12"/>
        <v>1</v>
      </c>
      <c r="BO30" s="31">
        <f t="shared" si="13"/>
        <v>0.5</v>
      </c>
      <c r="BP30" s="117">
        <f>SUM(BN30:BN41)</f>
        <v>13.459999999999999</v>
      </c>
      <c r="BQ30" s="120">
        <f>BP30/24</f>
        <v>0.56083333333333329</v>
      </c>
    </row>
    <row r="31" spans="1:69" ht="16">
      <c r="A31" s="144"/>
      <c r="B31" s="123"/>
      <c r="C31" s="42" t="s">
        <v>78</v>
      </c>
      <c r="D31" s="34" t="s">
        <v>34</v>
      </c>
      <c r="E31" s="24">
        <v>2</v>
      </c>
      <c r="F31" s="25">
        <v>1.2</v>
      </c>
      <c r="G31" s="26">
        <f t="shared" si="18"/>
        <v>0.6</v>
      </c>
      <c r="H31" s="141"/>
      <c r="I31" s="142"/>
      <c r="J31" s="25">
        <v>1.2</v>
      </c>
      <c r="K31" s="27">
        <f>J31/E31</f>
        <v>0.6</v>
      </c>
      <c r="L31" s="141"/>
      <c r="M31" s="142"/>
      <c r="N31" s="25">
        <v>1.2</v>
      </c>
      <c r="O31" s="26">
        <f t="shared" si="0"/>
        <v>0.6</v>
      </c>
      <c r="P31" s="118"/>
      <c r="Q31" s="135"/>
      <c r="R31" s="25">
        <v>1.2</v>
      </c>
      <c r="S31" s="26">
        <f t="shared" si="1"/>
        <v>0.6</v>
      </c>
      <c r="T31" s="118"/>
      <c r="U31" s="135"/>
      <c r="V31" s="25">
        <v>1.2</v>
      </c>
      <c r="W31" s="26">
        <f t="shared" si="19"/>
        <v>0.6</v>
      </c>
      <c r="X31" s="118"/>
      <c r="Y31" s="135"/>
      <c r="Z31" s="25">
        <v>1.4</v>
      </c>
      <c r="AA31" s="26">
        <f t="shared" si="2"/>
        <v>0.7</v>
      </c>
      <c r="AB31" s="118"/>
      <c r="AC31" s="135"/>
      <c r="AD31" s="25">
        <v>1.4</v>
      </c>
      <c r="AE31" s="26">
        <f t="shared" si="3"/>
        <v>0.7</v>
      </c>
      <c r="AF31" s="118"/>
      <c r="AG31" s="135"/>
      <c r="AH31" s="12">
        <v>1.4</v>
      </c>
      <c r="AI31" s="26">
        <f t="shared" si="4"/>
        <v>0.7</v>
      </c>
      <c r="AJ31" s="118"/>
      <c r="AK31" s="135"/>
      <c r="AL31" s="12">
        <v>0.8</v>
      </c>
      <c r="AM31" s="26">
        <f t="shared" si="5"/>
        <v>0.4</v>
      </c>
      <c r="AN31" s="118"/>
      <c r="AO31" s="135"/>
      <c r="AP31" s="12">
        <v>1</v>
      </c>
      <c r="AQ31" s="26">
        <f t="shared" si="6"/>
        <v>0.5</v>
      </c>
      <c r="AR31" s="132"/>
      <c r="AS31" s="129"/>
      <c r="AT31" s="28">
        <v>1.2</v>
      </c>
      <c r="AU31" s="29">
        <f t="shared" si="7"/>
        <v>0.6</v>
      </c>
      <c r="AV31" s="132"/>
      <c r="AW31" s="129"/>
      <c r="AX31" s="25">
        <v>1.2</v>
      </c>
      <c r="AY31" s="29">
        <f t="shared" si="8"/>
        <v>0.6</v>
      </c>
      <c r="AZ31" s="132"/>
      <c r="BA31" s="129"/>
      <c r="BB31" s="25">
        <v>1.2</v>
      </c>
      <c r="BC31" s="26">
        <f t="shared" si="9"/>
        <v>0.6</v>
      </c>
      <c r="BD31" s="132"/>
      <c r="BE31" s="129"/>
      <c r="BF31" s="12">
        <v>1</v>
      </c>
      <c r="BG31" s="29">
        <f t="shared" si="10"/>
        <v>0.5</v>
      </c>
      <c r="BH31" s="132"/>
      <c r="BI31" s="129"/>
      <c r="BJ31" s="12">
        <v>1</v>
      </c>
      <c r="BK31" s="29">
        <f t="shared" si="11"/>
        <v>0.5</v>
      </c>
      <c r="BL31" s="132"/>
      <c r="BM31" s="129"/>
      <c r="BN31" s="30">
        <f t="shared" si="12"/>
        <v>1.1733333333333333</v>
      </c>
      <c r="BO31" s="31">
        <f t="shared" si="13"/>
        <v>0.58666666666666667</v>
      </c>
      <c r="BP31" s="118"/>
      <c r="BQ31" s="121"/>
    </row>
    <row r="32" spans="1:69" ht="16">
      <c r="A32" s="144"/>
      <c r="B32" s="123"/>
      <c r="C32" s="42" t="s">
        <v>79</v>
      </c>
      <c r="D32" s="34" t="s">
        <v>35</v>
      </c>
      <c r="E32" s="24">
        <v>2</v>
      </c>
      <c r="F32" s="25">
        <v>1.2</v>
      </c>
      <c r="G32" s="26">
        <f t="shared" si="18"/>
        <v>0.6</v>
      </c>
      <c r="H32" s="141"/>
      <c r="I32" s="142"/>
      <c r="J32" s="25">
        <v>1.2</v>
      </c>
      <c r="K32" s="27">
        <f t="shared" ref="K32:K40" si="20">J32/E32</f>
        <v>0.6</v>
      </c>
      <c r="L32" s="141"/>
      <c r="M32" s="142"/>
      <c r="N32" s="25">
        <v>1</v>
      </c>
      <c r="O32" s="26">
        <f t="shared" si="0"/>
        <v>0.5</v>
      </c>
      <c r="P32" s="118"/>
      <c r="Q32" s="135"/>
      <c r="R32" s="25">
        <v>1</v>
      </c>
      <c r="S32" s="26">
        <f t="shared" si="1"/>
        <v>0.5</v>
      </c>
      <c r="T32" s="118"/>
      <c r="U32" s="135"/>
      <c r="V32" s="25">
        <v>1.4</v>
      </c>
      <c r="W32" s="26">
        <f t="shared" si="19"/>
        <v>0.7</v>
      </c>
      <c r="X32" s="118"/>
      <c r="Y32" s="135"/>
      <c r="Z32" s="25">
        <v>1</v>
      </c>
      <c r="AA32" s="26">
        <f t="shared" si="2"/>
        <v>0.5</v>
      </c>
      <c r="AB32" s="118"/>
      <c r="AC32" s="135"/>
      <c r="AD32" s="25">
        <v>1.4</v>
      </c>
      <c r="AE32" s="26">
        <f t="shared" si="3"/>
        <v>0.7</v>
      </c>
      <c r="AF32" s="118"/>
      <c r="AG32" s="135"/>
      <c r="AH32" s="12">
        <v>1.2</v>
      </c>
      <c r="AI32" s="26">
        <f t="shared" si="4"/>
        <v>0.6</v>
      </c>
      <c r="AJ32" s="118"/>
      <c r="AK32" s="135"/>
      <c r="AL32" s="12">
        <v>1</v>
      </c>
      <c r="AM32" s="26">
        <f t="shared" si="5"/>
        <v>0.5</v>
      </c>
      <c r="AN32" s="118"/>
      <c r="AO32" s="135"/>
      <c r="AP32" s="12">
        <v>1</v>
      </c>
      <c r="AQ32" s="26">
        <f t="shared" si="6"/>
        <v>0.5</v>
      </c>
      <c r="AR32" s="132"/>
      <c r="AS32" s="129"/>
      <c r="AT32" s="28">
        <v>1.2</v>
      </c>
      <c r="AU32" s="29">
        <f t="shared" si="7"/>
        <v>0.6</v>
      </c>
      <c r="AV32" s="132"/>
      <c r="AW32" s="129"/>
      <c r="AX32" s="25">
        <v>1.2</v>
      </c>
      <c r="AY32" s="29">
        <f t="shared" si="8"/>
        <v>0.6</v>
      </c>
      <c r="AZ32" s="132"/>
      <c r="BA32" s="129"/>
      <c r="BB32" s="25">
        <v>1.2</v>
      </c>
      <c r="BC32" s="26">
        <f t="shared" si="9"/>
        <v>0.6</v>
      </c>
      <c r="BD32" s="132"/>
      <c r="BE32" s="129"/>
      <c r="BF32" s="12">
        <v>1</v>
      </c>
      <c r="BG32" s="29">
        <f t="shared" si="10"/>
        <v>0.5</v>
      </c>
      <c r="BH32" s="132"/>
      <c r="BI32" s="129"/>
      <c r="BJ32" s="12">
        <v>1</v>
      </c>
      <c r="BK32" s="29">
        <f t="shared" si="11"/>
        <v>0.5</v>
      </c>
      <c r="BL32" s="132"/>
      <c r="BM32" s="129"/>
      <c r="BN32" s="30">
        <f t="shared" si="12"/>
        <v>1.1333333333333333</v>
      </c>
      <c r="BO32" s="31">
        <f t="shared" si="13"/>
        <v>0.56666666666666665</v>
      </c>
      <c r="BP32" s="118"/>
      <c r="BQ32" s="121"/>
    </row>
    <row r="33" spans="1:69" ht="16">
      <c r="A33" s="144"/>
      <c r="B33" s="123"/>
      <c r="C33" s="42" t="s">
        <v>80</v>
      </c>
      <c r="D33" s="33" t="s">
        <v>36</v>
      </c>
      <c r="E33" s="24">
        <v>2</v>
      </c>
      <c r="F33" s="25">
        <v>1.3</v>
      </c>
      <c r="G33" s="26">
        <f t="shared" si="18"/>
        <v>0.65</v>
      </c>
      <c r="H33" s="141"/>
      <c r="I33" s="142"/>
      <c r="J33" s="25">
        <v>1.3</v>
      </c>
      <c r="K33" s="27">
        <f t="shared" si="20"/>
        <v>0.65</v>
      </c>
      <c r="L33" s="141"/>
      <c r="M33" s="142"/>
      <c r="N33" s="25">
        <v>1.2</v>
      </c>
      <c r="O33" s="26">
        <f t="shared" si="0"/>
        <v>0.6</v>
      </c>
      <c r="P33" s="118"/>
      <c r="Q33" s="135"/>
      <c r="R33" s="25">
        <v>1.2</v>
      </c>
      <c r="S33" s="26">
        <f t="shared" si="1"/>
        <v>0.6</v>
      </c>
      <c r="T33" s="118"/>
      <c r="U33" s="135"/>
      <c r="V33" s="25">
        <v>1.2</v>
      </c>
      <c r="W33" s="26">
        <f t="shared" si="19"/>
        <v>0.6</v>
      </c>
      <c r="X33" s="118"/>
      <c r="Y33" s="135"/>
      <c r="Z33" s="25">
        <v>1</v>
      </c>
      <c r="AA33" s="26">
        <f t="shared" si="2"/>
        <v>0.5</v>
      </c>
      <c r="AB33" s="118"/>
      <c r="AC33" s="135"/>
      <c r="AD33" s="25">
        <v>1.2</v>
      </c>
      <c r="AE33" s="26">
        <f t="shared" si="3"/>
        <v>0.6</v>
      </c>
      <c r="AF33" s="118"/>
      <c r="AG33" s="135"/>
      <c r="AH33" s="12">
        <v>1</v>
      </c>
      <c r="AI33" s="26">
        <f t="shared" si="4"/>
        <v>0.5</v>
      </c>
      <c r="AJ33" s="118"/>
      <c r="AK33" s="135"/>
      <c r="AL33" s="12">
        <v>1</v>
      </c>
      <c r="AM33" s="26">
        <f t="shared" si="5"/>
        <v>0.5</v>
      </c>
      <c r="AN33" s="118"/>
      <c r="AO33" s="135"/>
      <c r="AP33" s="12">
        <v>1</v>
      </c>
      <c r="AQ33" s="26">
        <f t="shared" si="6"/>
        <v>0.5</v>
      </c>
      <c r="AR33" s="132"/>
      <c r="AS33" s="129"/>
      <c r="AT33" s="28">
        <v>1.2</v>
      </c>
      <c r="AU33" s="29">
        <f t="shared" si="7"/>
        <v>0.6</v>
      </c>
      <c r="AV33" s="132"/>
      <c r="AW33" s="129"/>
      <c r="AX33" s="25">
        <v>1.2</v>
      </c>
      <c r="AY33" s="29">
        <f t="shared" si="8"/>
        <v>0.6</v>
      </c>
      <c r="AZ33" s="132"/>
      <c r="BA33" s="129"/>
      <c r="BB33" s="25">
        <v>1.2</v>
      </c>
      <c r="BC33" s="26">
        <f t="shared" si="9"/>
        <v>0.6</v>
      </c>
      <c r="BD33" s="132"/>
      <c r="BE33" s="129"/>
      <c r="BF33" s="12">
        <v>1</v>
      </c>
      <c r="BG33" s="29">
        <f t="shared" si="10"/>
        <v>0.5</v>
      </c>
      <c r="BH33" s="132"/>
      <c r="BI33" s="129"/>
      <c r="BJ33" s="12">
        <v>1</v>
      </c>
      <c r="BK33" s="29">
        <f t="shared" si="11"/>
        <v>0.5</v>
      </c>
      <c r="BL33" s="132"/>
      <c r="BM33" s="129"/>
      <c r="BN33" s="30">
        <f t="shared" si="12"/>
        <v>1.1333333333333333</v>
      </c>
      <c r="BO33" s="31">
        <f t="shared" si="13"/>
        <v>0.56666666666666665</v>
      </c>
      <c r="BP33" s="118"/>
      <c r="BQ33" s="121"/>
    </row>
    <row r="34" spans="1:69" ht="16">
      <c r="A34" s="144"/>
      <c r="B34" s="123" t="s">
        <v>37</v>
      </c>
      <c r="C34" s="42" t="s">
        <v>81</v>
      </c>
      <c r="D34" s="33" t="s">
        <v>38</v>
      </c>
      <c r="E34" s="24">
        <v>2</v>
      </c>
      <c r="F34" s="25">
        <v>1.2</v>
      </c>
      <c r="G34" s="26">
        <f t="shared" si="18"/>
        <v>0.6</v>
      </c>
      <c r="H34" s="141"/>
      <c r="I34" s="142"/>
      <c r="J34" s="25">
        <v>1.2</v>
      </c>
      <c r="K34" s="27">
        <f t="shared" si="20"/>
        <v>0.6</v>
      </c>
      <c r="L34" s="141"/>
      <c r="M34" s="142"/>
      <c r="N34" s="25">
        <v>1.2</v>
      </c>
      <c r="O34" s="26">
        <f t="shared" si="0"/>
        <v>0.6</v>
      </c>
      <c r="P34" s="118"/>
      <c r="Q34" s="135"/>
      <c r="R34" s="25">
        <v>1.2</v>
      </c>
      <c r="S34" s="26">
        <f t="shared" si="1"/>
        <v>0.6</v>
      </c>
      <c r="T34" s="118"/>
      <c r="U34" s="135"/>
      <c r="V34" s="25">
        <v>1.2</v>
      </c>
      <c r="W34" s="26">
        <f t="shared" si="19"/>
        <v>0.6</v>
      </c>
      <c r="X34" s="118"/>
      <c r="Y34" s="135"/>
      <c r="Z34" s="25">
        <v>1</v>
      </c>
      <c r="AA34" s="26">
        <f t="shared" si="2"/>
        <v>0.5</v>
      </c>
      <c r="AB34" s="118"/>
      <c r="AC34" s="135"/>
      <c r="AD34" s="25">
        <v>1.2</v>
      </c>
      <c r="AE34" s="26">
        <f t="shared" si="3"/>
        <v>0.6</v>
      </c>
      <c r="AF34" s="118"/>
      <c r="AG34" s="135"/>
      <c r="AH34" s="12">
        <v>1.2</v>
      </c>
      <c r="AI34" s="26">
        <f t="shared" si="4"/>
        <v>0.6</v>
      </c>
      <c r="AJ34" s="118"/>
      <c r="AK34" s="135"/>
      <c r="AL34" s="12">
        <v>1.2</v>
      </c>
      <c r="AM34" s="26">
        <f t="shared" si="5"/>
        <v>0.6</v>
      </c>
      <c r="AN34" s="118"/>
      <c r="AO34" s="135"/>
      <c r="AP34" s="12">
        <v>1.2</v>
      </c>
      <c r="AQ34" s="26">
        <f t="shared" si="6"/>
        <v>0.6</v>
      </c>
      <c r="AR34" s="132"/>
      <c r="AS34" s="129"/>
      <c r="AT34" s="28">
        <v>1.4</v>
      </c>
      <c r="AU34" s="29">
        <f t="shared" si="7"/>
        <v>0.7</v>
      </c>
      <c r="AV34" s="132"/>
      <c r="AW34" s="129"/>
      <c r="AX34" s="25">
        <v>1.2</v>
      </c>
      <c r="AY34" s="29">
        <f t="shared" si="8"/>
        <v>0.6</v>
      </c>
      <c r="AZ34" s="132"/>
      <c r="BA34" s="129"/>
      <c r="BB34" s="25">
        <v>1.2</v>
      </c>
      <c r="BC34" s="26">
        <f t="shared" si="9"/>
        <v>0.6</v>
      </c>
      <c r="BD34" s="132"/>
      <c r="BE34" s="129"/>
      <c r="BF34" s="12">
        <v>1.2</v>
      </c>
      <c r="BG34" s="29">
        <f t="shared" si="10"/>
        <v>0.6</v>
      </c>
      <c r="BH34" s="132"/>
      <c r="BI34" s="129"/>
      <c r="BJ34" s="12">
        <v>1.2</v>
      </c>
      <c r="BK34" s="29">
        <f t="shared" si="11"/>
        <v>0.6</v>
      </c>
      <c r="BL34" s="132"/>
      <c r="BM34" s="129"/>
      <c r="BN34" s="30">
        <f t="shared" si="12"/>
        <v>1.1999999999999997</v>
      </c>
      <c r="BO34" s="31">
        <f t="shared" si="13"/>
        <v>0.59999999999999987</v>
      </c>
      <c r="BP34" s="118"/>
      <c r="BQ34" s="121"/>
    </row>
    <row r="35" spans="1:69" ht="16">
      <c r="A35" s="144"/>
      <c r="B35" s="123"/>
      <c r="C35" s="42" t="s">
        <v>82</v>
      </c>
      <c r="D35" s="33" t="s">
        <v>39</v>
      </c>
      <c r="E35" s="24">
        <v>2</v>
      </c>
      <c r="F35" s="25">
        <v>1.4</v>
      </c>
      <c r="G35" s="26">
        <f t="shared" si="18"/>
        <v>0.7</v>
      </c>
      <c r="H35" s="141"/>
      <c r="I35" s="142"/>
      <c r="J35" s="25">
        <v>1.4</v>
      </c>
      <c r="K35" s="27">
        <f t="shared" si="20"/>
        <v>0.7</v>
      </c>
      <c r="L35" s="141"/>
      <c r="M35" s="142"/>
      <c r="N35" s="25">
        <v>1.2</v>
      </c>
      <c r="O35" s="26">
        <f>N35/E35</f>
        <v>0.6</v>
      </c>
      <c r="P35" s="118"/>
      <c r="Q35" s="135"/>
      <c r="R35" s="25">
        <v>1.2</v>
      </c>
      <c r="S35" s="26">
        <f t="shared" si="1"/>
        <v>0.6</v>
      </c>
      <c r="T35" s="118"/>
      <c r="U35" s="135"/>
      <c r="V35" s="25">
        <v>1.4</v>
      </c>
      <c r="W35" s="26">
        <f>V35/E35</f>
        <v>0.7</v>
      </c>
      <c r="X35" s="118"/>
      <c r="Y35" s="135"/>
      <c r="Z35" s="25">
        <v>1</v>
      </c>
      <c r="AA35" s="26">
        <f t="shared" si="2"/>
        <v>0.5</v>
      </c>
      <c r="AB35" s="118"/>
      <c r="AC35" s="135"/>
      <c r="AD35" s="25">
        <v>1.2</v>
      </c>
      <c r="AE35" s="26">
        <f t="shared" si="3"/>
        <v>0.6</v>
      </c>
      <c r="AF35" s="118"/>
      <c r="AG35" s="135"/>
      <c r="AH35" s="12">
        <v>0.8</v>
      </c>
      <c r="AI35" s="26">
        <f t="shared" si="4"/>
        <v>0.4</v>
      </c>
      <c r="AJ35" s="118"/>
      <c r="AK35" s="135"/>
      <c r="AL35" s="12">
        <v>1</v>
      </c>
      <c r="AM35" s="26">
        <f t="shared" si="5"/>
        <v>0.5</v>
      </c>
      <c r="AN35" s="118"/>
      <c r="AO35" s="135"/>
      <c r="AP35" s="12">
        <v>1</v>
      </c>
      <c r="AQ35" s="26">
        <f t="shared" si="6"/>
        <v>0.5</v>
      </c>
      <c r="AR35" s="132"/>
      <c r="AS35" s="129"/>
      <c r="AT35" s="28">
        <v>1.2</v>
      </c>
      <c r="AU35" s="29">
        <f t="shared" si="7"/>
        <v>0.6</v>
      </c>
      <c r="AV35" s="132"/>
      <c r="AW35" s="129"/>
      <c r="AX35" s="25">
        <v>1.4</v>
      </c>
      <c r="AY35" s="29">
        <f t="shared" si="8"/>
        <v>0.7</v>
      </c>
      <c r="AZ35" s="132"/>
      <c r="BA35" s="129"/>
      <c r="BB35" s="25">
        <v>1.2</v>
      </c>
      <c r="BC35" s="26">
        <f t="shared" si="9"/>
        <v>0.6</v>
      </c>
      <c r="BD35" s="132"/>
      <c r="BE35" s="129"/>
      <c r="BF35" s="12">
        <v>1</v>
      </c>
      <c r="BG35" s="29">
        <f t="shared" si="10"/>
        <v>0.5</v>
      </c>
      <c r="BH35" s="132"/>
      <c r="BI35" s="129"/>
      <c r="BJ35" s="12">
        <v>1</v>
      </c>
      <c r="BK35" s="29">
        <f t="shared" si="11"/>
        <v>0.5</v>
      </c>
      <c r="BL35" s="132"/>
      <c r="BM35" s="129"/>
      <c r="BN35" s="30">
        <f t="shared" si="12"/>
        <v>1.1599999999999999</v>
      </c>
      <c r="BO35" s="31">
        <f t="shared" si="13"/>
        <v>0.57999999999999996</v>
      </c>
      <c r="BP35" s="118"/>
      <c r="BQ35" s="121"/>
    </row>
    <row r="36" spans="1:69" ht="16">
      <c r="A36" s="144"/>
      <c r="B36" s="123"/>
      <c r="C36" s="42" t="s">
        <v>83</v>
      </c>
      <c r="D36" s="33" t="s">
        <v>40</v>
      </c>
      <c r="E36" s="24">
        <v>2</v>
      </c>
      <c r="F36" s="25">
        <v>1.4</v>
      </c>
      <c r="G36" s="26">
        <f t="shared" si="18"/>
        <v>0.7</v>
      </c>
      <c r="H36" s="141"/>
      <c r="I36" s="142"/>
      <c r="J36" s="25">
        <v>1.4</v>
      </c>
      <c r="K36" s="27">
        <f t="shared" si="20"/>
        <v>0.7</v>
      </c>
      <c r="L36" s="141"/>
      <c r="M36" s="142"/>
      <c r="N36" s="25">
        <v>1.4</v>
      </c>
      <c r="O36" s="26">
        <f t="shared" si="0"/>
        <v>0.7</v>
      </c>
      <c r="P36" s="118"/>
      <c r="Q36" s="135"/>
      <c r="R36" s="25">
        <v>1.4</v>
      </c>
      <c r="S36" s="26">
        <f t="shared" si="1"/>
        <v>0.7</v>
      </c>
      <c r="T36" s="118"/>
      <c r="U36" s="135"/>
      <c r="V36" s="25">
        <v>1.4</v>
      </c>
      <c r="W36" s="26">
        <f t="shared" si="19"/>
        <v>0.7</v>
      </c>
      <c r="X36" s="118"/>
      <c r="Y36" s="135"/>
      <c r="Z36" s="25">
        <v>1</v>
      </c>
      <c r="AA36" s="26">
        <f t="shared" si="2"/>
        <v>0.5</v>
      </c>
      <c r="AB36" s="118"/>
      <c r="AC36" s="135"/>
      <c r="AD36" s="25">
        <v>1.2</v>
      </c>
      <c r="AE36" s="26">
        <f t="shared" si="3"/>
        <v>0.6</v>
      </c>
      <c r="AF36" s="118"/>
      <c r="AG36" s="135"/>
      <c r="AH36" s="12">
        <v>0.8</v>
      </c>
      <c r="AI36" s="26">
        <f t="shared" si="4"/>
        <v>0.4</v>
      </c>
      <c r="AJ36" s="118"/>
      <c r="AK36" s="135"/>
      <c r="AL36" s="12">
        <v>1.4</v>
      </c>
      <c r="AM36" s="26">
        <f t="shared" si="5"/>
        <v>0.7</v>
      </c>
      <c r="AN36" s="118"/>
      <c r="AO36" s="135"/>
      <c r="AP36" s="12">
        <v>1.4</v>
      </c>
      <c r="AQ36" s="26">
        <f t="shared" si="6"/>
        <v>0.7</v>
      </c>
      <c r="AR36" s="132"/>
      <c r="AS36" s="129"/>
      <c r="AT36" s="28">
        <v>1.2</v>
      </c>
      <c r="AU36" s="29">
        <f t="shared" si="7"/>
        <v>0.6</v>
      </c>
      <c r="AV36" s="132"/>
      <c r="AW36" s="129"/>
      <c r="AX36" s="25">
        <v>1.4</v>
      </c>
      <c r="AY36" s="29">
        <f t="shared" si="8"/>
        <v>0.7</v>
      </c>
      <c r="AZ36" s="132"/>
      <c r="BA36" s="129"/>
      <c r="BB36" s="25">
        <v>1.2</v>
      </c>
      <c r="BC36" s="26">
        <f t="shared" si="9"/>
        <v>0.6</v>
      </c>
      <c r="BD36" s="132"/>
      <c r="BE36" s="129"/>
      <c r="BF36" s="12">
        <v>1.4</v>
      </c>
      <c r="BG36" s="29">
        <f t="shared" si="10"/>
        <v>0.7</v>
      </c>
      <c r="BH36" s="132"/>
      <c r="BI36" s="129"/>
      <c r="BJ36" s="12">
        <v>1.2</v>
      </c>
      <c r="BK36" s="29">
        <f t="shared" si="11"/>
        <v>0.6</v>
      </c>
      <c r="BL36" s="132"/>
      <c r="BM36" s="129"/>
      <c r="BN36" s="30">
        <f t="shared" si="12"/>
        <v>1.28</v>
      </c>
      <c r="BO36" s="31">
        <f t="shared" si="13"/>
        <v>0.64</v>
      </c>
      <c r="BP36" s="118"/>
      <c r="BQ36" s="121"/>
    </row>
    <row r="37" spans="1:69" ht="16">
      <c r="A37" s="144"/>
      <c r="B37" s="123"/>
      <c r="C37" s="42" t="s">
        <v>84</v>
      </c>
      <c r="D37" s="34" t="s">
        <v>41</v>
      </c>
      <c r="E37" s="24">
        <v>2</v>
      </c>
      <c r="F37" s="25">
        <v>1.2</v>
      </c>
      <c r="G37" s="26">
        <f t="shared" si="18"/>
        <v>0.6</v>
      </c>
      <c r="H37" s="141"/>
      <c r="I37" s="142"/>
      <c r="J37" s="25">
        <v>1.2</v>
      </c>
      <c r="K37" s="27">
        <f t="shared" si="20"/>
        <v>0.6</v>
      </c>
      <c r="L37" s="141"/>
      <c r="M37" s="142"/>
      <c r="N37" s="25">
        <v>1</v>
      </c>
      <c r="O37" s="26">
        <f t="shared" si="0"/>
        <v>0.5</v>
      </c>
      <c r="P37" s="118"/>
      <c r="Q37" s="135"/>
      <c r="R37" s="25">
        <v>1</v>
      </c>
      <c r="S37" s="26">
        <f t="shared" si="1"/>
        <v>0.5</v>
      </c>
      <c r="T37" s="118"/>
      <c r="U37" s="135"/>
      <c r="V37" s="25">
        <v>1.4</v>
      </c>
      <c r="W37" s="26">
        <f t="shared" si="19"/>
        <v>0.7</v>
      </c>
      <c r="X37" s="118"/>
      <c r="Y37" s="135"/>
      <c r="Z37" s="25">
        <v>0.8</v>
      </c>
      <c r="AA37" s="26">
        <f t="shared" si="2"/>
        <v>0.4</v>
      </c>
      <c r="AB37" s="118"/>
      <c r="AC37" s="135"/>
      <c r="AD37" s="25">
        <v>1</v>
      </c>
      <c r="AE37" s="26">
        <f t="shared" si="3"/>
        <v>0.5</v>
      </c>
      <c r="AF37" s="118"/>
      <c r="AG37" s="135"/>
      <c r="AH37" s="12">
        <v>0.5</v>
      </c>
      <c r="AI37" s="26">
        <f t="shared" si="4"/>
        <v>0.25</v>
      </c>
      <c r="AJ37" s="118"/>
      <c r="AK37" s="135"/>
      <c r="AL37" s="12">
        <v>0.8</v>
      </c>
      <c r="AM37" s="26">
        <f t="shared" si="5"/>
        <v>0.4</v>
      </c>
      <c r="AN37" s="118"/>
      <c r="AO37" s="135"/>
      <c r="AP37" s="12">
        <v>0.8</v>
      </c>
      <c r="AQ37" s="26">
        <f t="shared" si="6"/>
        <v>0.4</v>
      </c>
      <c r="AR37" s="132"/>
      <c r="AS37" s="129"/>
      <c r="AT37" s="28">
        <v>1.2</v>
      </c>
      <c r="AU37" s="29">
        <f t="shared" si="7"/>
        <v>0.6</v>
      </c>
      <c r="AV37" s="132"/>
      <c r="AW37" s="129"/>
      <c r="AX37" s="25">
        <v>1.4</v>
      </c>
      <c r="AY37" s="29">
        <f t="shared" si="8"/>
        <v>0.7</v>
      </c>
      <c r="AZ37" s="132"/>
      <c r="BA37" s="129"/>
      <c r="BB37" s="25">
        <v>1.2</v>
      </c>
      <c r="BC37" s="26">
        <f t="shared" si="9"/>
        <v>0.6</v>
      </c>
      <c r="BD37" s="132"/>
      <c r="BE37" s="129"/>
      <c r="BF37" s="12">
        <v>0.5</v>
      </c>
      <c r="BG37" s="29">
        <f t="shared" si="10"/>
        <v>0.25</v>
      </c>
      <c r="BH37" s="132"/>
      <c r="BI37" s="129"/>
      <c r="BJ37" s="12">
        <v>0.5</v>
      </c>
      <c r="BK37" s="29">
        <f t="shared" si="11"/>
        <v>0.25</v>
      </c>
      <c r="BL37" s="132"/>
      <c r="BM37" s="129"/>
      <c r="BN37" s="30">
        <f t="shared" si="12"/>
        <v>0.96666666666666679</v>
      </c>
      <c r="BO37" s="31">
        <f t="shared" si="13"/>
        <v>0.48333333333333339</v>
      </c>
      <c r="BP37" s="118"/>
      <c r="BQ37" s="121"/>
    </row>
    <row r="38" spans="1:69" ht="16">
      <c r="A38" s="144"/>
      <c r="B38" s="123" t="s">
        <v>42</v>
      </c>
      <c r="C38" s="42" t="s">
        <v>85</v>
      </c>
      <c r="D38" s="34" t="s">
        <v>43</v>
      </c>
      <c r="E38" s="24">
        <v>2</v>
      </c>
      <c r="F38" s="25">
        <v>1.2</v>
      </c>
      <c r="G38" s="26">
        <f t="shared" si="18"/>
        <v>0.6</v>
      </c>
      <c r="H38" s="141"/>
      <c r="I38" s="142"/>
      <c r="J38" s="25">
        <v>1.2</v>
      </c>
      <c r="K38" s="27">
        <f t="shared" si="20"/>
        <v>0.6</v>
      </c>
      <c r="L38" s="141"/>
      <c r="M38" s="142"/>
      <c r="N38" s="25">
        <v>1.2</v>
      </c>
      <c r="O38" s="26">
        <f t="shared" si="0"/>
        <v>0.6</v>
      </c>
      <c r="P38" s="118"/>
      <c r="Q38" s="135"/>
      <c r="R38" s="25">
        <v>1.2</v>
      </c>
      <c r="S38" s="26">
        <f t="shared" si="1"/>
        <v>0.6</v>
      </c>
      <c r="T38" s="118"/>
      <c r="U38" s="135"/>
      <c r="V38" s="25">
        <v>1.2</v>
      </c>
      <c r="W38" s="26">
        <f t="shared" si="19"/>
        <v>0.6</v>
      </c>
      <c r="X38" s="118"/>
      <c r="Y38" s="135"/>
      <c r="Z38" s="25">
        <v>1.2</v>
      </c>
      <c r="AA38" s="26">
        <f t="shared" si="2"/>
        <v>0.6</v>
      </c>
      <c r="AB38" s="118"/>
      <c r="AC38" s="135"/>
      <c r="AD38" s="25">
        <v>1.2</v>
      </c>
      <c r="AE38" s="26">
        <f t="shared" si="3"/>
        <v>0.6</v>
      </c>
      <c r="AF38" s="118"/>
      <c r="AG38" s="135"/>
      <c r="AH38" s="12">
        <v>1.2</v>
      </c>
      <c r="AI38" s="26">
        <f t="shared" si="4"/>
        <v>0.6</v>
      </c>
      <c r="AJ38" s="118"/>
      <c r="AK38" s="135"/>
      <c r="AL38" s="12">
        <v>1</v>
      </c>
      <c r="AM38" s="26">
        <f t="shared" si="5"/>
        <v>0.5</v>
      </c>
      <c r="AN38" s="118"/>
      <c r="AO38" s="135"/>
      <c r="AP38" s="12">
        <v>1</v>
      </c>
      <c r="AQ38" s="26">
        <f t="shared" si="6"/>
        <v>0.5</v>
      </c>
      <c r="AR38" s="132"/>
      <c r="AS38" s="129"/>
      <c r="AT38" s="28">
        <v>1.2</v>
      </c>
      <c r="AU38" s="29">
        <f t="shared" si="7"/>
        <v>0.6</v>
      </c>
      <c r="AV38" s="132"/>
      <c r="AW38" s="129"/>
      <c r="AX38" s="25">
        <v>1.2</v>
      </c>
      <c r="AY38" s="29">
        <f t="shared" si="8"/>
        <v>0.6</v>
      </c>
      <c r="AZ38" s="132"/>
      <c r="BA38" s="129"/>
      <c r="BB38" s="25">
        <v>1.2</v>
      </c>
      <c r="BC38" s="26">
        <f t="shared" si="9"/>
        <v>0.6</v>
      </c>
      <c r="BD38" s="132"/>
      <c r="BE38" s="129"/>
      <c r="BF38" s="12">
        <v>1.2</v>
      </c>
      <c r="BG38" s="29">
        <f t="shared" si="10"/>
        <v>0.6</v>
      </c>
      <c r="BH38" s="132"/>
      <c r="BI38" s="129"/>
      <c r="BJ38" s="12">
        <v>1</v>
      </c>
      <c r="BK38" s="29">
        <f t="shared" si="11"/>
        <v>0.5</v>
      </c>
      <c r="BL38" s="132"/>
      <c r="BM38" s="129"/>
      <c r="BN38" s="30">
        <f t="shared" si="12"/>
        <v>1.1599999999999999</v>
      </c>
      <c r="BO38" s="31">
        <f t="shared" si="13"/>
        <v>0.57999999999999996</v>
      </c>
      <c r="BP38" s="118"/>
      <c r="BQ38" s="121"/>
    </row>
    <row r="39" spans="1:69" ht="16">
      <c r="A39" s="144"/>
      <c r="B39" s="123"/>
      <c r="C39" s="42" t="s">
        <v>86</v>
      </c>
      <c r="D39" s="34" t="s">
        <v>44</v>
      </c>
      <c r="E39" s="24">
        <v>2</v>
      </c>
      <c r="F39" s="25">
        <v>1.2</v>
      </c>
      <c r="G39" s="26">
        <f t="shared" si="18"/>
        <v>0.6</v>
      </c>
      <c r="H39" s="141"/>
      <c r="I39" s="142"/>
      <c r="J39" s="25">
        <v>1.2</v>
      </c>
      <c r="K39" s="27">
        <f t="shared" si="20"/>
        <v>0.6</v>
      </c>
      <c r="L39" s="141"/>
      <c r="M39" s="142"/>
      <c r="N39" s="25">
        <v>1</v>
      </c>
      <c r="O39" s="26">
        <f t="shared" si="0"/>
        <v>0.5</v>
      </c>
      <c r="P39" s="118"/>
      <c r="Q39" s="135"/>
      <c r="R39" s="25">
        <v>1</v>
      </c>
      <c r="S39" s="26">
        <f t="shared" si="1"/>
        <v>0.5</v>
      </c>
      <c r="T39" s="118"/>
      <c r="U39" s="135"/>
      <c r="V39" s="25">
        <v>1.2</v>
      </c>
      <c r="W39" s="26">
        <f t="shared" si="19"/>
        <v>0.6</v>
      </c>
      <c r="X39" s="118"/>
      <c r="Y39" s="135"/>
      <c r="Z39" s="25">
        <v>1.2</v>
      </c>
      <c r="AA39" s="26">
        <f t="shared" si="2"/>
        <v>0.6</v>
      </c>
      <c r="AB39" s="118"/>
      <c r="AC39" s="135"/>
      <c r="AD39" s="25">
        <v>1.2</v>
      </c>
      <c r="AE39" s="26">
        <f t="shared" si="3"/>
        <v>0.6</v>
      </c>
      <c r="AF39" s="118"/>
      <c r="AG39" s="135"/>
      <c r="AH39" s="12">
        <v>1</v>
      </c>
      <c r="AI39" s="26">
        <f t="shared" si="4"/>
        <v>0.5</v>
      </c>
      <c r="AJ39" s="118"/>
      <c r="AK39" s="135"/>
      <c r="AL39" s="12">
        <v>1</v>
      </c>
      <c r="AM39" s="26">
        <f t="shared" si="5"/>
        <v>0.5</v>
      </c>
      <c r="AN39" s="118"/>
      <c r="AO39" s="135"/>
      <c r="AP39" s="12">
        <v>1</v>
      </c>
      <c r="AQ39" s="26">
        <f t="shared" si="6"/>
        <v>0.5</v>
      </c>
      <c r="AR39" s="132"/>
      <c r="AS39" s="129"/>
      <c r="AT39" s="28">
        <v>1.2</v>
      </c>
      <c r="AU39" s="29">
        <f t="shared" si="7"/>
        <v>0.6</v>
      </c>
      <c r="AV39" s="132"/>
      <c r="AW39" s="129"/>
      <c r="AX39" s="25">
        <v>1</v>
      </c>
      <c r="AY39" s="29">
        <f t="shared" si="8"/>
        <v>0.5</v>
      </c>
      <c r="AZ39" s="132"/>
      <c r="BA39" s="129"/>
      <c r="BB39" s="25">
        <v>1</v>
      </c>
      <c r="BC39" s="26">
        <f t="shared" si="9"/>
        <v>0.5</v>
      </c>
      <c r="BD39" s="132"/>
      <c r="BE39" s="129"/>
      <c r="BF39" s="12">
        <v>1</v>
      </c>
      <c r="BG39" s="29">
        <f t="shared" si="10"/>
        <v>0.5</v>
      </c>
      <c r="BH39" s="132"/>
      <c r="BI39" s="129"/>
      <c r="BJ39" s="12">
        <v>1</v>
      </c>
      <c r="BK39" s="29">
        <f t="shared" si="11"/>
        <v>0.5</v>
      </c>
      <c r="BL39" s="132"/>
      <c r="BM39" s="129"/>
      <c r="BN39" s="30">
        <f t="shared" si="12"/>
        <v>1.0799999999999998</v>
      </c>
      <c r="BO39" s="31">
        <f t="shared" si="13"/>
        <v>0.53999999999999992</v>
      </c>
      <c r="BP39" s="118"/>
      <c r="BQ39" s="121"/>
    </row>
    <row r="40" spans="1:69" ht="16">
      <c r="A40" s="144"/>
      <c r="B40" s="123"/>
      <c r="C40" s="42" t="s">
        <v>87</v>
      </c>
      <c r="D40" s="34" t="s">
        <v>45</v>
      </c>
      <c r="E40" s="24">
        <v>2</v>
      </c>
      <c r="F40" s="25">
        <v>1.2</v>
      </c>
      <c r="G40" s="26">
        <f t="shared" si="18"/>
        <v>0.6</v>
      </c>
      <c r="H40" s="141"/>
      <c r="I40" s="142"/>
      <c r="J40" s="25">
        <v>1.2</v>
      </c>
      <c r="K40" s="27">
        <f t="shared" si="20"/>
        <v>0.6</v>
      </c>
      <c r="L40" s="141"/>
      <c r="M40" s="142"/>
      <c r="N40" s="25">
        <v>1.2</v>
      </c>
      <c r="O40" s="26">
        <f t="shared" si="0"/>
        <v>0.6</v>
      </c>
      <c r="P40" s="118"/>
      <c r="Q40" s="135"/>
      <c r="R40" s="25">
        <v>1.2</v>
      </c>
      <c r="S40" s="26">
        <f t="shared" si="1"/>
        <v>0.6</v>
      </c>
      <c r="T40" s="118"/>
      <c r="U40" s="135"/>
      <c r="V40" s="25">
        <v>1.2</v>
      </c>
      <c r="W40" s="26">
        <f t="shared" si="19"/>
        <v>0.6</v>
      </c>
      <c r="X40" s="118"/>
      <c r="Y40" s="135"/>
      <c r="Z40" s="25">
        <v>1.2</v>
      </c>
      <c r="AA40" s="26">
        <f t="shared" si="2"/>
        <v>0.6</v>
      </c>
      <c r="AB40" s="118"/>
      <c r="AC40" s="135"/>
      <c r="AD40" s="25">
        <v>1.2</v>
      </c>
      <c r="AE40" s="26">
        <f t="shared" si="3"/>
        <v>0.6</v>
      </c>
      <c r="AF40" s="118"/>
      <c r="AG40" s="135"/>
      <c r="AH40" s="12">
        <v>1</v>
      </c>
      <c r="AI40" s="26">
        <f t="shared" si="4"/>
        <v>0.5</v>
      </c>
      <c r="AJ40" s="118"/>
      <c r="AK40" s="135"/>
      <c r="AL40" s="12">
        <v>1.2</v>
      </c>
      <c r="AM40" s="26">
        <f t="shared" si="5"/>
        <v>0.6</v>
      </c>
      <c r="AN40" s="118"/>
      <c r="AO40" s="135"/>
      <c r="AP40" s="12">
        <v>1.2</v>
      </c>
      <c r="AQ40" s="26">
        <f t="shared" si="6"/>
        <v>0.6</v>
      </c>
      <c r="AR40" s="132"/>
      <c r="AS40" s="129"/>
      <c r="AT40" s="28">
        <v>1</v>
      </c>
      <c r="AU40" s="29">
        <f t="shared" si="7"/>
        <v>0.5</v>
      </c>
      <c r="AV40" s="132"/>
      <c r="AW40" s="129"/>
      <c r="AX40" s="25">
        <v>1.2</v>
      </c>
      <c r="AY40" s="29">
        <f t="shared" si="8"/>
        <v>0.6</v>
      </c>
      <c r="AZ40" s="132"/>
      <c r="BA40" s="129"/>
      <c r="BB40" s="25">
        <v>1.2</v>
      </c>
      <c r="BC40" s="26">
        <f t="shared" si="9"/>
        <v>0.6</v>
      </c>
      <c r="BD40" s="132"/>
      <c r="BE40" s="129"/>
      <c r="BF40" s="12">
        <v>1</v>
      </c>
      <c r="BG40" s="29">
        <f t="shared" si="10"/>
        <v>0.5</v>
      </c>
      <c r="BH40" s="132"/>
      <c r="BI40" s="129"/>
      <c r="BJ40" s="12">
        <v>1</v>
      </c>
      <c r="BK40" s="29">
        <f t="shared" si="11"/>
        <v>0.5</v>
      </c>
      <c r="BL40" s="132"/>
      <c r="BM40" s="129"/>
      <c r="BN40" s="30">
        <f t="shared" si="12"/>
        <v>1.1466666666666663</v>
      </c>
      <c r="BO40" s="31">
        <f t="shared" si="13"/>
        <v>0.57333333333333314</v>
      </c>
      <c r="BP40" s="118"/>
      <c r="BQ40" s="121"/>
    </row>
    <row r="41" spans="1:69" ht="17" thickBot="1">
      <c r="A41" s="145"/>
      <c r="B41" s="124"/>
      <c r="C41" s="43" t="s">
        <v>88</v>
      </c>
      <c r="D41" s="36" t="s">
        <v>46</v>
      </c>
      <c r="E41" s="24">
        <v>2</v>
      </c>
      <c r="F41" s="25">
        <v>1.2</v>
      </c>
      <c r="G41" s="26">
        <f t="shared" si="18"/>
        <v>0.6</v>
      </c>
      <c r="H41" s="141"/>
      <c r="I41" s="142"/>
      <c r="J41" s="25">
        <v>1.2</v>
      </c>
      <c r="K41" s="27">
        <f>J41/E41</f>
        <v>0.6</v>
      </c>
      <c r="L41" s="141"/>
      <c r="M41" s="142"/>
      <c r="N41" s="25">
        <v>1</v>
      </c>
      <c r="O41" s="26">
        <f t="shared" si="0"/>
        <v>0.5</v>
      </c>
      <c r="P41" s="119"/>
      <c r="Q41" s="136"/>
      <c r="R41" s="25">
        <v>1</v>
      </c>
      <c r="S41" s="26">
        <f t="shared" si="1"/>
        <v>0.5</v>
      </c>
      <c r="T41" s="119"/>
      <c r="U41" s="136"/>
      <c r="V41" s="25">
        <v>1.2</v>
      </c>
      <c r="W41" s="26">
        <f t="shared" si="19"/>
        <v>0.6</v>
      </c>
      <c r="X41" s="119"/>
      <c r="Y41" s="136"/>
      <c r="Z41" s="25">
        <v>1</v>
      </c>
      <c r="AA41" s="26">
        <f t="shared" si="2"/>
        <v>0.5</v>
      </c>
      <c r="AB41" s="119"/>
      <c r="AC41" s="136"/>
      <c r="AD41" s="25">
        <v>1</v>
      </c>
      <c r="AE41" s="26">
        <f t="shared" si="3"/>
        <v>0.5</v>
      </c>
      <c r="AF41" s="119"/>
      <c r="AG41" s="136"/>
      <c r="AH41" s="12">
        <v>1</v>
      </c>
      <c r="AI41" s="26">
        <f t="shared" si="4"/>
        <v>0.5</v>
      </c>
      <c r="AJ41" s="119"/>
      <c r="AK41" s="136"/>
      <c r="AL41" s="12">
        <v>1</v>
      </c>
      <c r="AM41" s="26">
        <f t="shared" si="5"/>
        <v>0.5</v>
      </c>
      <c r="AN41" s="119"/>
      <c r="AO41" s="136"/>
      <c r="AP41" s="12">
        <v>1</v>
      </c>
      <c r="AQ41" s="26">
        <f t="shared" si="6"/>
        <v>0.5</v>
      </c>
      <c r="AR41" s="133"/>
      <c r="AS41" s="130"/>
      <c r="AT41" s="28">
        <v>1</v>
      </c>
      <c r="AU41" s="29">
        <f t="shared" si="7"/>
        <v>0.5</v>
      </c>
      <c r="AV41" s="133"/>
      <c r="AW41" s="130"/>
      <c r="AX41" s="25">
        <v>1</v>
      </c>
      <c r="AY41" s="29">
        <f t="shared" si="8"/>
        <v>0.5</v>
      </c>
      <c r="AZ41" s="133"/>
      <c r="BA41" s="130"/>
      <c r="BB41" s="25">
        <v>1</v>
      </c>
      <c r="BC41" s="26">
        <f t="shared" si="9"/>
        <v>0.5</v>
      </c>
      <c r="BD41" s="133"/>
      <c r="BE41" s="130"/>
      <c r="BF41" s="12">
        <v>1</v>
      </c>
      <c r="BG41" s="29">
        <f t="shared" si="10"/>
        <v>0.5</v>
      </c>
      <c r="BH41" s="133"/>
      <c r="BI41" s="130"/>
      <c r="BJ41" s="12">
        <v>0.8</v>
      </c>
      <c r="BK41" s="29">
        <f t="shared" si="11"/>
        <v>0.4</v>
      </c>
      <c r="BL41" s="133"/>
      <c r="BM41" s="130"/>
      <c r="BN41" s="30">
        <f t="shared" si="12"/>
        <v>1.0266666666666668</v>
      </c>
      <c r="BO41" s="31">
        <f t="shared" si="13"/>
        <v>0.51333333333333342</v>
      </c>
      <c r="BP41" s="119"/>
      <c r="BQ41" s="122"/>
    </row>
    <row r="42" spans="1:69" ht="16">
      <c r="A42" s="138" t="s">
        <v>96</v>
      </c>
      <c r="B42" s="21" t="s">
        <v>47</v>
      </c>
      <c r="C42" s="44" t="s">
        <v>89</v>
      </c>
      <c r="D42" s="45" t="s">
        <v>101</v>
      </c>
      <c r="E42" s="24">
        <v>12</v>
      </c>
      <c r="F42" s="25">
        <v>6</v>
      </c>
      <c r="G42" s="26">
        <f t="shared" si="18"/>
        <v>0.5</v>
      </c>
      <c r="H42" s="141">
        <f>SUM(F42:F45)</f>
        <v>12.4</v>
      </c>
      <c r="I42" s="142">
        <f>H42/24</f>
        <v>0.51666666666666672</v>
      </c>
      <c r="J42" s="25">
        <v>6.4</v>
      </c>
      <c r="K42" s="27">
        <f>J42/E42</f>
        <v>0.53333333333333333</v>
      </c>
      <c r="L42" s="141">
        <f>SUM(J42:J45)</f>
        <v>12.8</v>
      </c>
      <c r="M42" s="142">
        <f>L42/24</f>
        <v>0.53333333333333333</v>
      </c>
      <c r="N42" s="25">
        <v>7.2</v>
      </c>
      <c r="O42" s="26">
        <f t="shared" si="0"/>
        <v>0.6</v>
      </c>
      <c r="P42" s="137">
        <f>SUM(N42:N45)</f>
        <v>13.6</v>
      </c>
      <c r="Q42" s="134">
        <f>P42/24</f>
        <v>0.56666666666666665</v>
      </c>
      <c r="R42" s="25">
        <v>7.3</v>
      </c>
      <c r="S42" s="26">
        <f>R42/E42</f>
        <v>0.60833333333333328</v>
      </c>
      <c r="T42" s="137">
        <f>SUM(R42:R45)</f>
        <v>13.7</v>
      </c>
      <c r="U42" s="134">
        <f>T42/24</f>
        <v>0.5708333333333333</v>
      </c>
      <c r="V42" s="25">
        <v>6.8</v>
      </c>
      <c r="W42" s="26">
        <f>V42/E42</f>
        <v>0.56666666666666665</v>
      </c>
      <c r="X42" s="137">
        <f>SUM(V42:V45)</f>
        <v>13</v>
      </c>
      <c r="Y42" s="134">
        <f>X42/24</f>
        <v>0.54166666666666663</v>
      </c>
      <c r="Z42" s="25">
        <v>6.6</v>
      </c>
      <c r="AA42" s="26">
        <f>Z42/12</f>
        <v>0.54999999999999993</v>
      </c>
      <c r="AB42" s="137">
        <f>SUM(Z42:Z45)</f>
        <v>13.4</v>
      </c>
      <c r="AC42" s="134">
        <f>AB42/24</f>
        <v>0.55833333333333335</v>
      </c>
      <c r="AD42" s="25">
        <v>6.5</v>
      </c>
      <c r="AE42" s="26">
        <f>AD42/12</f>
        <v>0.54166666666666663</v>
      </c>
      <c r="AF42" s="137">
        <f>SUM(AD42:AD45)</f>
        <v>13.3</v>
      </c>
      <c r="AG42" s="134">
        <f>AF42/24</f>
        <v>0.5541666666666667</v>
      </c>
      <c r="AH42" s="12">
        <v>7.5</v>
      </c>
      <c r="AI42" s="26">
        <f>AH42/12</f>
        <v>0.625</v>
      </c>
      <c r="AJ42" s="137">
        <f>SUM(AH42:AH45)</f>
        <v>15.8</v>
      </c>
      <c r="AK42" s="134">
        <f>AJ42/24</f>
        <v>0.65833333333333333</v>
      </c>
      <c r="AL42" s="12">
        <v>6.6</v>
      </c>
      <c r="AM42" s="26">
        <f>AL42/12</f>
        <v>0.54999999999999993</v>
      </c>
      <c r="AN42" s="137">
        <f>SUM(AL42:AL45)</f>
        <v>13.4</v>
      </c>
      <c r="AO42" s="134">
        <f>AN42/24</f>
        <v>0.55833333333333335</v>
      </c>
      <c r="AP42" s="12">
        <v>6.6</v>
      </c>
      <c r="AQ42" s="26">
        <f>AP42/12</f>
        <v>0.54999999999999993</v>
      </c>
      <c r="AR42" s="131">
        <f>SUM(AP42:AP45)</f>
        <v>13.4</v>
      </c>
      <c r="AS42" s="128">
        <f>AR42/24</f>
        <v>0.55833333333333335</v>
      </c>
      <c r="AT42" s="28">
        <v>7</v>
      </c>
      <c r="AU42" s="29">
        <f t="shared" si="7"/>
        <v>0.58333333333333337</v>
      </c>
      <c r="AV42" s="131">
        <f>SUM(AT42:AT45)</f>
        <v>13</v>
      </c>
      <c r="AW42" s="128">
        <f>AV42/24</f>
        <v>0.54166666666666663</v>
      </c>
      <c r="AX42" s="25">
        <v>7</v>
      </c>
      <c r="AY42" s="29">
        <f t="shared" si="8"/>
        <v>0.58333333333333337</v>
      </c>
      <c r="AZ42" s="131">
        <f>SUM(AX42:AX45)</f>
        <v>13.8</v>
      </c>
      <c r="BA42" s="128">
        <f>AZ42/24</f>
        <v>0.57500000000000007</v>
      </c>
      <c r="BB42" s="25">
        <v>7.6</v>
      </c>
      <c r="BC42" s="26">
        <f t="shared" si="9"/>
        <v>0.6333333333333333</v>
      </c>
      <c r="BD42" s="131">
        <f>SUM(BB42:BB45)</f>
        <v>15.2</v>
      </c>
      <c r="BE42" s="128">
        <f>BD42/24</f>
        <v>0.6333333333333333</v>
      </c>
      <c r="BF42" s="12">
        <v>7.5</v>
      </c>
      <c r="BG42" s="29">
        <f t="shared" si="10"/>
        <v>0.625</v>
      </c>
      <c r="BH42" s="131">
        <f>SUM(BF42:BF45)</f>
        <v>14.7</v>
      </c>
      <c r="BI42" s="128">
        <f>BH42/24</f>
        <v>0.61249999999999993</v>
      </c>
      <c r="BJ42" s="12">
        <v>7.5</v>
      </c>
      <c r="BK42" s="29">
        <f t="shared" si="11"/>
        <v>0.625</v>
      </c>
      <c r="BL42" s="131">
        <f>SUM(BJ42:BJ45)</f>
        <v>14.7</v>
      </c>
      <c r="BM42" s="128">
        <f>BL42/24</f>
        <v>0.61249999999999993</v>
      </c>
      <c r="BN42" s="30">
        <f t="shared" si="12"/>
        <v>6.9399999999999995</v>
      </c>
      <c r="BO42" s="31">
        <f t="shared" si="13"/>
        <v>0.57833333333333325</v>
      </c>
      <c r="BP42" s="117">
        <f>SUM(BN42:BN45)</f>
        <v>13.746666666666666</v>
      </c>
      <c r="BQ42" s="120">
        <f>BP42/24</f>
        <v>0.57277777777777772</v>
      </c>
    </row>
    <row r="43" spans="1:69" ht="17" customHeight="1">
      <c r="A43" s="139"/>
      <c r="B43" s="123" t="s">
        <v>48</v>
      </c>
      <c r="C43" s="46" t="s">
        <v>90</v>
      </c>
      <c r="D43" s="33" t="s">
        <v>49</v>
      </c>
      <c r="E43" s="24">
        <v>4</v>
      </c>
      <c r="F43" s="25">
        <v>2.4</v>
      </c>
      <c r="G43" s="26">
        <f t="shared" si="18"/>
        <v>0.6</v>
      </c>
      <c r="H43" s="141"/>
      <c r="I43" s="142"/>
      <c r="J43" s="25">
        <v>2.4</v>
      </c>
      <c r="K43" s="27">
        <f>J43/E43</f>
        <v>0.6</v>
      </c>
      <c r="L43" s="141"/>
      <c r="M43" s="142"/>
      <c r="N43" s="25">
        <v>2.4</v>
      </c>
      <c r="O43" s="26">
        <f t="shared" si="0"/>
        <v>0.6</v>
      </c>
      <c r="P43" s="118"/>
      <c r="Q43" s="135"/>
      <c r="R43" s="25">
        <v>2.4</v>
      </c>
      <c r="S43" s="26">
        <f t="shared" si="1"/>
        <v>0.6</v>
      </c>
      <c r="T43" s="118"/>
      <c r="U43" s="135"/>
      <c r="V43" s="25">
        <v>2.2000000000000002</v>
      </c>
      <c r="W43" s="26">
        <f t="shared" si="19"/>
        <v>0.55000000000000004</v>
      </c>
      <c r="X43" s="118"/>
      <c r="Y43" s="135"/>
      <c r="Z43" s="25">
        <v>2.4</v>
      </c>
      <c r="AA43" s="26">
        <f>Z43/4</f>
        <v>0.6</v>
      </c>
      <c r="AB43" s="118"/>
      <c r="AC43" s="135"/>
      <c r="AD43" s="25">
        <v>2.4</v>
      </c>
      <c r="AE43" s="26">
        <f>AD43/4</f>
        <v>0.6</v>
      </c>
      <c r="AF43" s="118"/>
      <c r="AG43" s="135"/>
      <c r="AH43" s="12">
        <v>3.3</v>
      </c>
      <c r="AI43" s="26">
        <f>AH43/4</f>
        <v>0.82499999999999996</v>
      </c>
      <c r="AJ43" s="118"/>
      <c r="AK43" s="135"/>
      <c r="AL43" s="12">
        <v>2.4</v>
      </c>
      <c r="AM43" s="26">
        <f>AL43/4</f>
        <v>0.6</v>
      </c>
      <c r="AN43" s="118"/>
      <c r="AO43" s="135"/>
      <c r="AP43" s="12">
        <v>2.4</v>
      </c>
      <c r="AQ43" s="26">
        <f>AP43/4</f>
        <v>0.6</v>
      </c>
      <c r="AR43" s="132"/>
      <c r="AS43" s="129"/>
      <c r="AT43" s="28">
        <v>2</v>
      </c>
      <c r="AU43" s="29">
        <f t="shared" si="7"/>
        <v>0.5</v>
      </c>
      <c r="AV43" s="132"/>
      <c r="AW43" s="129"/>
      <c r="AX43" s="25">
        <v>2.4</v>
      </c>
      <c r="AY43" s="29">
        <f t="shared" si="8"/>
        <v>0.6</v>
      </c>
      <c r="AZ43" s="132"/>
      <c r="BA43" s="129"/>
      <c r="BB43" s="25">
        <v>2.8</v>
      </c>
      <c r="BC43" s="26">
        <f t="shared" si="9"/>
        <v>0.7</v>
      </c>
      <c r="BD43" s="132"/>
      <c r="BE43" s="129"/>
      <c r="BF43" s="12">
        <v>2</v>
      </c>
      <c r="BG43" s="29">
        <f t="shared" si="10"/>
        <v>0.5</v>
      </c>
      <c r="BH43" s="132"/>
      <c r="BI43" s="129"/>
      <c r="BJ43" s="12">
        <v>2</v>
      </c>
      <c r="BK43" s="29">
        <f t="shared" si="11"/>
        <v>0.5</v>
      </c>
      <c r="BL43" s="132"/>
      <c r="BM43" s="129"/>
      <c r="BN43" s="30">
        <f t="shared" si="12"/>
        <v>2.3933333333333331</v>
      </c>
      <c r="BO43" s="31">
        <f t="shared" si="13"/>
        <v>0.59833333333333327</v>
      </c>
      <c r="BP43" s="118"/>
      <c r="BQ43" s="121"/>
    </row>
    <row r="44" spans="1:69" ht="16">
      <c r="A44" s="139"/>
      <c r="B44" s="123"/>
      <c r="C44" s="46" t="s">
        <v>91</v>
      </c>
      <c r="D44" s="33" t="s">
        <v>50</v>
      </c>
      <c r="E44" s="24">
        <v>4</v>
      </c>
      <c r="F44" s="25">
        <v>2</v>
      </c>
      <c r="G44" s="26">
        <f t="shared" si="18"/>
        <v>0.5</v>
      </c>
      <c r="H44" s="141"/>
      <c r="I44" s="142"/>
      <c r="J44" s="25">
        <v>2</v>
      </c>
      <c r="K44" s="27">
        <f>J44/E44</f>
        <v>0.5</v>
      </c>
      <c r="L44" s="141"/>
      <c r="M44" s="142"/>
      <c r="N44" s="25">
        <v>2</v>
      </c>
      <c r="O44" s="26">
        <f t="shared" si="0"/>
        <v>0.5</v>
      </c>
      <c r="P44" s="118"/>
      <c r="Q44" s="135"/>
      <c r="R44" s="25">
        <v>2</v>
      </c>
      <c r="S44" s="26">
        <f t="shared" si="1"/>
        <v>0.5</v>
      </c>
      <c r="T44" s="118"/>
      <c r="U44" s="135"/>
      <c r="V44" s="25">
        <v>2</v>
      </c>
      <c r="W44" s="26">
        <f t="shared" si="19"/>
        <v>0.5</v>
      </c>
      <c r="X44" s="118"/>
      <c r="Y44" s="135"/>
      <c r="Z44" s="25">
        <v>2.4</v>
      </c>
      <c r="AA44" s="26">
        <f>Z44/4</f>
        <v>0.6</v>
      </c>
      <c r="AB44" s="118"/>
      <c r="AC44" s="135"/>
      <c r="AD44" s="25">
        <v>2.4</v>
      </c>
      <c r="AE44" s="26">
        <f>AD44/4</f>
        <v>0.6</v>
      </c>
      <c r="AF44" s="118"/>
      <c r="AG44" s="135"/>
      <c r="AH44" s="12">
        <v>3</v>
      </c>
      <c r="AI44" s="26">
        <f>AH44/4</f>
        <v>0.75</v>
      </c>
      <c r="AJ44" s="118"/>
      <c r="AK44" s="135"/>
      <c r="AL44" s="12">
        <v>2.4</v>
      </c>
      <c r="AM44" s="26">
        <f>AL44/4</f>
        <v>0.6</v>
      </c>
      <c r="AN44" s="118"/>
      <c r="AO44" s="135"/>
      <c r="AP44" s="12">
        <v>2.4</v>
      </c>
      <c r="AQ44" s="26">
        <f>AP44/4</f>
        <v>0.6</v>
      </c>
      <c r="AR44" s="132"/>
      <c r="AS44" s="129"/>
      <c r="AT44" s="28">
        <v>2</v>
      </c>
      <c r="AU44" s="29">
        <f t="shared" si="7"/>
        <v>0.5</v>
      </c>
      <c r="AV44" s="132"/>
      <c r="AW44" s="129"/>
      <c r="AX44" s="25">
        <v>2.4</v>
      </c>
      <c r="AY44" s="29">
        <f t="shared" si="8"/>
        <v>0.6</v>
      </c>
      <c r="AZ44" s="132"/>
      <c r="BA44" s="129"/>
      <c r="BB44" s="25">
        <v>2.8</v>
      </c>
      <c r="BC44" s="26">
        <f t="shared" si="9"/>
        <v>0.7</v>
      </c>
      <c r="BD44" s="132"/>
      <c r="BE44" s="129"/>
      <c r="BF44" s="12">
        <v>3.2</v>
      </c>
      <c r="BG44" s="29">
        <f t="shared" si="10"/>
        <v>0.8</v>
      </c>
      <c r="BH44" s="132"/>
      <c r="BI44" s="129"/>
      <c r="BJ44" s="12">
        <v>3.2</v>
      </c>
      <c r="BK44" s="29">
        <f t="shared" si="11"/>
        <v>0.8</v>
      </c>
      <c r="BL44" s="132"/>
      <c r="BM44" s="129"/>
      <c r="BN44" s="30">
        <f t="shared" si="12"/>
        <v>2.4133333333333336</v>
      </c>
      <c r="BO44" s="31">
        <f t="shared" si="13"/>
        <v>0.60333333333333339</v>
      </c>
      <c r="BP44" s="118"/>
      <c r="BQ44" s="121"/>
    </row>
    <row r="45" spans="1:69" ht="17" thickBot="1">
      <c r="A45" s="140"/>
      <c r="B45" s="124"/>
      <c r="C45" s="47" t="s">
        <v>92</v>
      </c>
      <c r="D45" s="36" t="s">
        <v>51</v>
      </c>
      <c r="E45" s="24">
        <v>4</v>
      </c>
      <c r="F45" s="25">
        <v>2</v>
      </c>
      <c r="G45" s="26">
        <f t="shared" si="18"/>
        <v>0.5</v>
      </c>
      <c r="H45" s="141"/>
      <c r="I45" s="142"/>
      <c r="J45" s="25">
        <v>2</v>
      </c>
      <c r="K45" s="27">
        <f>J45/E45</f>
        <v>0.5</v>
      </c>
      <c r="L45" s="141"/>
      <c r="M45" s="142"/>
      <c r="N45" s="25">
        <v>2</v>
      </c>
      <c r="O45" s="26">
        <f t="shared" si="0"/>
        <v>0.5</v>
      </c>
      <c r="P45" s="119"/>
      <c r="Q45" s="136"/>
      <c r="R45" s="25">
        <v>2</v>
      </c>
      <c r="S45" s="26">
        <f t="shared" si="1"/>
        <v>0.5</v>
      </c>
      <c r="T45" s="119"/>
      <c r="U45" s="136"/>
      <c r="V45" s="25">
        <v>2</v>
      </c>
      <c r="W45" s="26">
        <f t="shared" si="19"/>
        <v>0.5</v>
      </c>
      <c r="X45" s="119"/>
      <c r="Y45" s="136"/>
      <c r="Z45" s="25">
        <v>2</v>
      </c>
      <c r="AA45" s="26">
        <f>Z45/4</f>
        <v>0.5</v>
      </c>
      <c r="AB45" s="119"/>
      <c r="AC45" s="136"/>
      <c r="AD45" s="25">
        <v>2</v>
      </c>
      <c r="AE45" s="26">
        <f>AD45/4</f>
        <v>0.5</v>
      </c>
      <c r="AF45" s="119"/>
      <c r="AG45" s="136"/>
      <c r="AH45" s="12">
        <v>2</v>
      </c>
      <c r="AI45" s="26">
        <f>AH45/4</f>
        <v>0.5</v>
      </c>
      <c r="AJ45" s="119"/>
      <c r="AK45" s="136"/>
      <c r="AL45" s="12">
        <v>2</v>
      </c>
      <c r="AM45" s="26">
        <f>AL45/4</f>
        <v>0.5</v>
      </c>
      <c r="AN45" s="119"/>
      <c r="AO45" s="136"/>
      <c r="AP45" s="12">
        <v>2</v>
      </c>
      <c r="AQ45" s="26">
        <f>AP45/4</f>
        <v>0.5</v>
      </c>
      <c r="AR45" s="133"/>
      <c r="AS45" s="130"/>
      <c r="AT45" s="28">
        <v>2</v>
      </c>
      <c r="AU45" s="29">
        <f t="shared" si="7"/>
        <v>0.5</v>
      </c>
      <c r="AV45" s="133"/>
      <c r="AW45" s="130"/>
      <c r="AX45" s="25">
        <v>2</v>
      </c>
      <c r="AY45" s="29">
        <f t="shared" si="8"/>
        <v>0.5</v>
      </c>
      <c r="AZ45" s="133"/>
      <c r="BA45" s="130"/>
      <c r="BB45" s="25">
        <v>2</v>
      </c>
      <c r="BC45" s="26">
        <f t="shared" si="9"/>
        <v>0.5</v>
      </c>
      <c r="BD45" s="133"/>
      <c r="BE45" s="130"/>
      <c r="BF45" s="12">
        <v>2</v>
      </c>
      <c r="BG45" s="29">
        <f t="shared" si="10"/>
        <v>0.5</v>
      </c>
      <c r="BH45" s="133"/>
      <c r="BI45" s="130"/>
      <c r="BJ45" s="12">
        <v>2</v>
      </c>
      <c r="BK45" s="29">
        <f t="shared" si="11"/>
        <v>0.5</v>
      </c>
      <c r="BL45" s="133"/>
      <c r="BM45" s="130"/>
      <c r="BN45" s="30">
        <f t="shared" si="12"/>
        <v>2</v>
      </c>
      <c r="BO45" s="31">
        <f t="shared" si="13"/>
        <v>0.5</v>
      </c>
      <c r="BP45" s="119"/>
      <c r="BQ45" s="122"/>
    </row>
    <row r="46" spans="1:69" ht="15" thickBot="1"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1:69" ht="15">
      <c r="D47" s="3" t="s">
        <v>98</v>
      </c>
      <c r="E47" s="4">
        <f>SUM(E6:E45)</f>
        <v>96</v>
      </c>
      <c r="F47" s="125">
        <f>SUM(F6:F45)</f>
        <v>49</v>
      </c>
      <c r="G47" s="126"/>
      <c r="H47" s="126"/>
      <c r="I47" s="127"/>
      <c r="J47" s="125">
        <f>SUM(J6:J45)</f>
        <v>52.500000000000007</v>
      </c>
      <c r="K47" s="126"/>
      <c r="L47" s="126"/>
      <c r="M47" s="127"/>
      <c r="N47" s="111">
        <f>SUM(N6:N45)</f>
        <v>50</v>
      </c>
      <c r="O47" s="112"/>
      <c r="P47" s="112"/>
      <c r="Q47" s="113"/>
      <c r="R47" s="111">
        <f>SUM(R6:R45)</f>
        <v>52.499999999999993</v>
      </c>
      <c r="S47" s="112"/>
      <c r="T47" s="112"/>
      <c r="U47" s="113"/>
      <c r="V47" s="111">
        <f>SUM(V6:V45)</f>
        <v>57</v>
      </c>
      <c r="W47" s="112"/>
      <c r="X47" s="112"/>
      <c r="Y47" s="113"/>
      <c r="Z47" s="111">
        <f t="shared" ref="Z47" si="21">SUM(Z6:Z45)</f>
        <v>49</v>
      </c>
      <c r="AA47" s="112"/>
      <c r="AB47" s="112"/>
      <c r="AC47" s="113"/>
      <c r="AD47" s="111">
        <f t="shared" ref="AD47" si="22">SUM(AD6:AD45)</f>
        <v>56.000000000000007</v>
      </c>
      <c r="AE47" s="112"/>
      <c r="AF47" s="112"/>
      <c r="AG47" s="113"/>
      <c r="AH47" s="111">
        <f t="shared" ref="AH47" si="23">SUM(AH6:AH45)</f>
        <v>49.999999999999993</v>
      </c>
      <c r="AI47" s="112"/>
      <c r="AJ47" s="112"/>
      <c r="AK47" s="113"/>
      <c r="AL47" s="111">
        <f t="shared" ref="AL47" si="24">SUM(AL6:AL45)</f>
        <v>47.999999999999993</v>
      </c>
      <c r="AM47" s="112"/>
      <c r="AN47" s="112"/>
      <c r="AO47" s="113"/>
      <c r="AP47" s="111">
        <f t="shared" ref="AP47" si="25">SUM(AP6:AP45)</f>
        <v>52.5</v>
      </c>
      <c r="AQ47" s="112"/>
      <c r="AR47" s="112"/>
      <c r="AS47" s="113"/>
      <c r="AT47" s="111">
        <f>SUM(AT6:AT45)</f>
        <v>57.400000000000006</v>
      </c>
      <c r="AU47" s="112"/>
      <c r="AV47" s="112"/>
      <c r="AW47" s="113"/>
      <c r="AX47" s="111">
        <f>SUM(AX6:AX45)</f>
        <v>57.399999999999991</v>
      </c>
      <c r="AY47" s="112"/>
      <c r="AZ47" s="112"/>
      <c r="BA47" s="113"/>
      <c r="BB47" s="111">
        <f>SUM(BB6:BB45)</f>
        <v>57.000000000000007</v>
      </c>
      <c r="BC47" s="112"/>
      <c r="BD47" s="112"/>
      <c r="BE47" s="113"/>
      <c r="BF47" s="111">
        <f>SUM(BF6:BF45)</f>
        <v>50</v>
      </c>
      <c r="BG47" s="112"/>
      <c r="BH47" s="112"/>
      <c r="BI47" s="113"/>
      <c r="BJ47" s="111">
        <f>SUM(BJ6:BJ45)</f>
        <v>47.999999999999993</v>
      </c>
      <c r="BK47" s="112"/>
      <c r="BL47" s="112"/>
      <c r="BM47" s="113"/>
      <c r="BN47" s="105">
        <f>AVERAGE(F47:BM47)</f>
        <v>52.419999999999995</v>
      </c>
      <c r="BO47" s="106"/>
      <c r="BP47" s="106"/>
      <c r="BQ47" s="107"/>
    </row>
    <row r="48" spans="1:69" ht="16" thickBot="1">
      <c r="D48" s="5" t="s">
        <v>99</v>
      </c>
      <c r="E48" s="6">
        <v>1</v>
      </c>
      <c r="F48" s="108">
        <f>F47/E47</f>
        <v>0.51041666666666663</v>
      </c>
      <c r="G48" s="109"/>
      <c r="H48" s="109"/>
      <c r="I48" s="110"/>
      <c r="J48" s="108">
        <f>J47/E47</f>
        <v>0.54687500000000011</v>
      </c>
      <c r="K48" s="109"/>
      <c r="L48" s="109"/>
      <c r="M48" s="110"/>
      <c r="N48" s="102">
        <f>N47/96</f>
        <v>0.52083333333333337</v>
      </c>
      <c r="O48" s="103"/>
      <c r="P48" s="103"/>
      <c r="Q48" s="104"/>
      <c r="R48" s="102">
        <f>R47/96</f>
        <v>0.54687499999999989</v>
      </c>
      <c r="S48" s="103"/>
      <c r="T48" s="103"/>
      <c r="U48" s="104"/>
      <c r="V48" s="102">
        <f>V47/96</f>
        <v>0.59375</v>
      </c>
      <c r="W48" s="103"/>
      <c r="X48" s="103"/>
      <c r="Y48" s="104"/>
      <c r="Z48" s="102">
        <f t="shared" ref="Z48" si="26">Z47/96</f>
        <v>0.51041666666666663</v>
      </c>
      <c r="AA48" s="103"/>
      <c r="AB48" s="103"/>
      <c r="AC48" s="104"/>
      <c r="AD48" s="102">
        <f t="shared" ref="AD48" si="27">AD47/96</f>
        <v>0.58333333333333337</v>
      </c>
      <c r="AE48" s="103"/>
      <c r="AF48" s="103"/>
      <c r="AG48" s="104"/>
      <c r="AH48" s="102">
        <f t="shared" ref="AH48" si="28">AH47/96</f>
        <v>0.52083333333333326</v>
      </c>
      <c r="AI48" s="103"/>
      <c r="AJ48" s="103"/>
      <c r="AK48" s="104"/>
      <c r="AL48" s="102">
        <f t="shared" ref="AL48" si="29">AL47/96</f>
        <v>0.49999999999999994</v>
      </c>
      <c r="AM48" s="103"/>
      <c r="AN48" s="103"/>
      <c r="AO48" s="104"/>
      <c r="AP48" s="102">
        <f t="shared" ref="AP48" si="30">AP47/96</f>
        <v>0.546875</v>
      </c>
      <c r="AQ48" s="103"/>
      <c r="AR48" s="103"/>
      <c r="AS48" s="104"/>
      <c r="AT48" s="102">
        <f t="shared" ref="AT48" si="31">AT47/96</f>
        <v>0.59791666666666676</v>
      </c>
      <c r="AU48" s="103"/>
      <c r="AV48" s="103"/>
      <c r="AW48" s="104"/>
      <c r="AX48" s="102">
        <f t="shared" ref="AX48" si="32">AX47/96</f>
        <v>0.59791666666666654</v>
      </c>
      <c r="AY48" s="103"/>
      <c r="AZ48" s="103"/>
      <c r="BA48" s="104"/>
      <c r="BB48" s="102">
        <f>BB47/96</f>
        <v>0.59375000000000011</v>
      </c>
      <c r="BC48" s="103"/>
      <c r="BD48" s="103"/>
      <c r="BE48" s="104"/>
      <c r="BF48" s="102">
        <f>BF47/96</f>
        <v>0.52083333333333337</v>
      </c>
      <c r="BG48" s="103"/>
      <c r="BH48" s="103"/>
      <c r="BI48" s="104"/>
      <c r="BJ48" s="102">
        <f>BJ47/96</f>
        <v>0.49999999999999994</v>
      </c>
      <c r="BK48" s="103"/>
      <c r="BL48" s="103"/>
      <c r="BM48" s="104"/>
      <c r="BN48" s="114">
        <f>BN47/96</f>
        <v>0.54604166666666665</v>
      </c>
      <c r="BO48" s="115"/>
      <c r="BP48" s="115"/>
      <c r="BQ48" s="116"/>
    </row>
    <row r="66" spans="11:11">
      <c r="K66" s="2" t="s">
        <v>102</v>
      </c>
    </row>
  </sheetData>
  <mergeCells count="214">
    <mergeCell ref="F3:I5"/>
    <mergeCell ref="J3:M5"/>
    <mergeCell ref="N3:Q5"/>
    <mergeCell ref="R3:U5"/>
    <mergeCell ref="V3:Y5"/>
    <mergeCell ref="Z3:AC5"/>
    <mergeCell ref="AH1:AK1"/>
    <mergeCell ref="AL1:AS1"/>
    <mergeCell ref="Z2:AC2"/>
    <mergeCell ref="AD2:AG2"/>
    <mergeCell ref="AH2:AK2"/>
    <mergeCell ref="AL2:AO2"/>
    <mergeCell ref="F2:I2"/>
    <mergeCell ref="J2:M2"/>
    <mergeCell ref="N2:Q2"/>
    <mergeCell ref="R2:U2"/>
    <mergeCell ref="V2:Y2"/>
    <mergeCell ref="BJ2:BM2"/>
    <mergeCell ref="AT1:BA1"/>
    <mergeCell ref="BB1:BJ1"/>
    <mergeCell ref="BN1:BQ5"/>
    <mergeCell ref="BJ3:BM5"/>
    <mergeCell ref="AD3:AG5"/>
    <mergeCell ref="AH3:AK5"/>
    <mergeCell ref="AL3:AO5"/>
    <mergeCell ref="AP3:AS5"/>
    <mergeCell ref="AT3:AW5"/>
    <mergeCell ref="AX3:BA5"/>
    <mergeCell ref="N1:AG1"/>
    <mergeCell ref="AP2:AS2"/>
    <mergeCell ref="AT2:AW2"/>
    <mergeCell ref="AX2:BA2"/>
    <mergeCell ref="BB2:BE2"/>
    <mergeCell ref="BF2:BI2"/>
    <mergeCell ref="A4:A5"/>
    <mergeCell ref="A6:A17"/>
    <mergeCell ref="B6:B9"/>
    <mergeCell ref="H6:H17"/>
    <mergeCell ref="I6:I17"/>
    <mergeCell ref="L6:L17"/>
    <mergeCell ref="M6:M17"/>
    <mergeCell ref="BB3:BE5"/>
    <mergeCell ref="BF3:BI5"/>
    <mergeCell ref="AB6:AB17"/>
    <mergeCell ref="AC6:AC17"/>
    <mergeCell ref="AF6:AF17"/>
    <mergeCell ref="AG6:AG17"/>
    <mergeCell ref="AJ6:AJ17"/>
    <mergeCell ref="AK6:AK17"/>
    <mergeCell ref="P6:P17"/>
    <mergeCell ref="Q6:Q17"/>
    <mergeCell ref="T6:T17"/>
    <mergeCell ref="U6:U17"/>
    <mergeCell ref="X6:X17"/>
    <mergeCell ref="Y6:Y17"/>
    <mergeCell ref="E1:E5"/>
    <mergeCell ref="F1:I1"/>
    <mergeCell ref="J1:M1"/>
    <mergeCell ref="A18:A29"/>
    <mergeCell ref="B18:B21"/>
    <mergeCell ref="H18:H29"/>
    <mergeCell ref="I18:I29"/>
    <mergeCell ref="L18:L29"/>
    <mergeCell ref="M18:M29"/>
    <mergeCell ref="BP6:BP17"/>
    <mergeCell ref="BQ6:BQ17"/>
    <mergeCell ref="B10:B13"/>
    <mergeCell ref="B14:B17"/>
    <mergeCell ref="BL6:BL17"/>
    <mergeCell ref="BM6:BM17"/>
    <mergeCell ref="AZ6:AZ17"/>
    <mergeCell ref="BA6:BA17"/>
    <mergeCell ref="BD6:BD17"/>
    <mergeCell ref="BE6:BE17"/>
    <mergeCell ref="BH6:BH17"/>
    <mergeCell ref="BI6:BI17"/>
    <mergeCell ref="AN6:AN17"/>
    <mergeCell ref="AO6:AO17"/>
    <mergeCell ref="AR6:AR17"/>
    <mergeCell ref="AS6:AS17"/>
    <mergeCell ref="AV6:AV17"/>
    <mergeCell ref="AW6:AW17"/>
    <mergeCell ref="AB18:AB29"/>
    <mergeCell ref="AC18:AC29"/>
    <mergeCell ref="AF18:AF29"/>
    <mergeCell ref="AG18:AG29"/>
    <mergeCell ref="AJ18:AJ29"/>
    <mergeCell ref="AK18:AK29"/>
    <mergeCell ref="P18:P29"/>
    <mergeCell ref="Q18:Q29"/>
    <mergeCell ref="T18:T29"/>
    <mergeCell ref="U18:U29"/>
    <mergeCell ref="X18:X29"/>
    <mergeCell ref="Y18:Y29"/>
    <mergeCell ref="A30:A41"/>
    <mergeCell ref="B30:B33"/>
    <mergeCell ref="H30:H41"/>
    <mergeCell ref="I30:I41"/>
    <mergeCell ref="L30:L41"/>
    <mergeCell ref="M30:M41"/>
    <mergeCell ref="BP18:BP29"/>
    <mergeCell ref="BQ18:BQ29"/>
    <mergeCell ref="B22:B25"/>
    <mergeCell ref="B26:B29"/>
    <mergeCell ref="BL18:BL29"/>
    <mergeCell ref="BM18:BM29"/>
    <mergeCell ref="AZ18:AZ29"/>
    <mergeCell ref="BA18:BA29"/>
    <mergeCell ref="BD18:BD29"/>
    <mergeCell ref="BE18:BE29"/>
    <mergeCell ref="BH18:BH29"/>
    <mergeCell ref="BI18:BI29"/>
    <mergeCell ref="AN18:AN29"/>
    <mergeCell ref="AO18:AO29"/>
    <mergeCell ref="AR18:AR29"/>
    <mergeCell ref="AS18:AS29"/>
    <mergeCell ref="AV18:AV29"/>
    <mergeCell ref="AW18:AW29"/>
    <mergeCell ref="AB30:AB41"/>
    <mergeCell ref="AC30:AC41"/>
    <mergeCell ref="AF30:AF41"/>
    <mergeCell ref="AG30:AG41"/>
    <mergeCell ref="AJ30:AJ41"/>
    <mergeCell ref="AK30:AK41"/>
    <mergeCell ref="P30:P41"/>
    <mergeCell ref="Q30:Q41"/>
    <mergeCell ref="T30:T41"/>
    <mergeCell ref="U30:U41"/>
    <mergeCell ref="X30:X41"/>
    <mergeCell ref="Y30:Y41"/>
    <mergeCell ref="A42:A45"/>
    <mergeCell ref="H42:H45"/>
    <mergeCell ref="I42:I45"/>
    <mergeCell ref="L42:L45"/>
    <mergeCell ref="M42:M45"/>
    <mergeCell ref="P42:P45"/>
    <mergeCell ref="BP30:BP41"/>
    <mergeCell ref="BQ30:BQ41"/>
    <mergeCell ref="B34:B37"/>
    <mergeCell ref="B38:B41"/>
    <mergeCell ref="BL30:BL41"/>
    <mergeCell ref="BM30:BM41"/>
    <mergeCell ref="AZ30:AZ41"/>
    <mergeCell ref="BA30:BA41"/>
    <mergeCell ref="BD30:BD41"/>
    <mergeCell ref="BE30:BE41"/>
    <mergeCell ref="BH30:BH41"/>
    <mergeCell ref="BI30:BI41"/>
    <mergeCell ref="AN30:AN41"/>
    <mergeCell ref="AO30:AO41"/>
    <mergeCell ref="AR30:AR41"/>
    <mergeCell ref="AS30:AS41"/>
    <mergeCell ref="AV30:AV41"/>
    <mergeCell ref="AW30:AW41"/>
    <mergeCell ref="AC42:AC45"/>
    <mergeCell ref="AF42:AF45"/>
    <mergeCell ref="AG42:AG45"/>
    <mergeCell ref="AJ42:AJ45"/>
    <mergeCell ref="AK42:AK45"/>
    <mergeCell ref="AN42:AN45"/>
    <mergeCell ref="Q42:Q45"/>
    <mergeCell ref="T42:T45"/>
    <mergeCell ref="U42:U45"/>
    <mergeCell ref="X42:X45"/>
    <mergeCell ref="Y42:Y45"/>
    <mergeCell ref="AB42:AB45"/>
    <mergeCell ref="AL48:AO48"/>
    <mergeCell ref="AP48:AS48"/>
    <mergeCell ref="BP42:BP45"/>
    <mergeCell ref="BQ42:BQ45"/>
    <mergeCell ref="B43:B45"/>
    <mergeCell ref="F47:I47"/>
    <mergeCell ref="J47:M47"/>
    <mergeCell ref="N47:Q47"/>
    <mergeCell ref="R47:U47"/>
    <mergeCell ref="V47:Y47"/>
    <mergeCell ref="Z47:AC47"/>
    <mergeCell ref="BM42:BM45"/>
    <mergeCell ref="BA42:BA45"/>
    <mergeCell ref="BD42:BD45"/>
    <mergeCell ref="BE42:BE45"/>
    <mergeCell ref="BH42:BH45"/>
    <mergeCell ref="BI42:BI45"/>
    <mergeCell ref="BL42:BL45"/>
    <mergeCell ref="AO42:AO45"/>
    <mergeCell ref="AR42:AR45"/>
    <mergeCell ref="AS42:AS45"/>
    <mergeCell ref="AV42:AV45"/>
    <mergeCell ref="AW42:AW45"/>
    <mergeCell ref="AZ42:AZ45"/>
    <mergeCell ref="AT48:AW48"/>
    <mergeCell ref="AX48:BA48"/>
    <mergeCell ref="BN47:BQ47"/>
    <mergeCell ref="F48:I48"/>
    <mergeCell ref="J48:M48"/>
    <mergeCell ref="N48:Q48"/>
    <mergeCell ref="R48:U48"/>
    <mergeCell ref="V48:Y48"/>
    <mergeCell ref="Z48:AC48"/>
    <mergeCell ref="BB47:BE47"/>
    <mergeCell ref="BF47:BI47"/>
    <mergeCell ref="BJ47:BM47"/>
    <mergeCell ref="AD47:AG47"/>
    <mergeCell ref="AH47:AK47"/>
    <mergeCell ref="AL47:AO47"/>
    <mergeCell ref="AP47:AS47"/>
    <mergeCell ref="AT47:AW47"/>
    <mergeCell ref="AX47:BA47"/>
    <mergeCell ref="BN48:BQ48"/>
    <mergeCell ref="BB48:BE48"/>
    <mergeCell ref="BF48:BI48"/>
    <mergeCell ref="BJ48:BM48"/>
    <mergeCell ref="AD48:AG48"/>
    <mergeCell ref="AH48:AK48"/>
  </mergeCells>
  <conditionalFormatting sqref="G6:G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4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:W4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4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:S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:S4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4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:AE4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6:AI4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M4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45 K6:K45 O6:O45 S6:S45 AA6:AA45 AE6:AE45 AI6:AI45 AM6:AM45 AQ6:AQ45 W6:W45 BC6:BC45 BG6:BG45 BK6:BK45 AU6:AU45 AY6:AY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6:AQ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6:BC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45 K6:K45 O6:O45 S6:S45 W6:W45 AA6:AA45 AE6:AE45 AI6:AI45 AM6:AM45 AQ6:AQ45 BC6:BC45 BG6:BG45 BK6:BK45 AU6:AU45 AY6:AY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45 K6:K45 O6:O45 S6:S45 W6:W45 AA6:AA45 AE6:AE45 AI6:AI45 AM6:AM45 AQ6:AQ45 AU6:AU45 AY6:AY45 BC6:BC45 BG6:BG45 BK6:BK45 BO6:BO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19E7-C2B5-854A-B2E8-5E743793D010}">
  <dimension ref="B1:M91"/>
  <sheetViews>
    <sheetView showGridLines="0" zoomScale="125" workbookViewId="0">
      <selection activeCell="H82" sqref="H82"/>
    </sheetView>
  </sheetViews>
  <sheetFormatPr baseColWidth="10" defaultRowHeight="15"/>
  <cols>
    <col min="1" max="1" width="3.6640625" customWidth="1"/>
    <col min="2" max="2" width="16.33203125" customWidth="1"/>
    <col min="3" max="3" width="23" customWidth="1"/>
    <col min="4" max="4" width="17.83203125" customWidth="1"/>
    <col min="5" max="5" width="42" customWidth="1"/>
    <col min="6" max="6" width="16.33203125" bestFit="1" customWidth="1"/>
    <col min="7" max="7" width="15.6640625" bestFit="1" customWidth="1"/>
    <col min="9" max="10" width="4" customWidth="1"/>
    <col min="11" max="11" width="29.83203125" customWidth="1"/>
  </cols>
  <sheetData>
    <row r="1" spans="2:13">
      <c r="B1" s="10"/>
      <c r="C1" s="202"/>
      <c r="D1" s="202"/>
    </row>
    <row r="2" spans="2:13" ht="16" thickBot="1">
      <c r="B2" s="10"/>
      <c r="C2" s="202"/>
      <c r="D2" s="202"/>
      <c r="E2" s="11"/>
      <c r="F2" s="11"/>
      <c r="G2" s="11"/>
    </row>
    <row r="3" spans="2:13">
      <c r="B3" s="199" t="s">
        <v>103</v>
      </c>
      <c r="C3" s="62" t="s">
        <v>123</v>
      </c>
      <c r="D3" s="62" t="s">
        <v>124</v>
      </c>
      <c r="E3" s="62" t="s">
        <v>125</v>
      </c>
      <c r="F3" s="63" t="s">
        <v>126</v>
      </c>
      <c r="G3" s="63" t="s">
        <v>127</v>
      </c>
      <c r="I3" s="89" t="s">
        <v>134</v>
      </c>
      <c r="J3" s="90" t="s">
        <v>133</v>
      </c>
      <c r="K3" s="90" t="s">
        <v>132</v>
      </c>
      <c r="L3" s="205" t="s">
        <v>124</v>
      </c>
      <c r="M3" s="206"/>
    </row>
    <row r="4" spans="2:13">
      <c r="B4" s="199"/>
      <c r="C4" s="50" t="s">
        <v>119</v>
      </c>
      <c r="D4" s="52">
        <v>11.7</v>
      </c>
      <c r="E4" s="64">
        <f>D4/24</f>
        <v>0.48749999999999999</v>
      </c>
      <c r="F4" s="200">
        <f>SUM(D4:D7)</f>
        <v>48.999999999999993</v>
      </c>
      <c r="G4" s="201">
        <f>F4/96</f>
        <v>0.51041666666666663</v>
      </c>
      <c r="I4" s="91">
        <v>1</v>
      </c>
      <c r="J4" s="50" t="s">
        <v>139</v>
      </c>
      <c r="K4" s="65" t="s">
        <v>103</v>
      </c>
      <c r="L4" s="66">
        <f>G4</f>
        <v>0.51041666666666663</v>
      </c>
      <c r="M4" s="207">
        <f>AVERAGE(L4:L9)</f>
        <v>0.51041666666666663</v>
      </c>
    </row>
    <row r="5" spans="2:13">
      <c r="B5" s="199"/>
      <c r="C5" s="50" t="s">
        <v>120</v>
      </c>
      <c r="D5" s="52">
        <v>10.199999999999999</v>
      </c>
      <c r="E5" s="64">
        <f>D5/24</f>
        <v>0.42499999999999999</v>
      </c>
      <c r="F5" s="200"/>
      <c r="G5" s="201"/>
      <c r="I5" s="91">
        <v>2</v>
      </c>
      <c r="J5" s="50" t="s">
        <v>139</v>
      </c>
      <c r="K5" s="65" t="s">
        <v>105</v>
      </c>
      <c r="L5" s="66">
        <f>G16</f>
        <v>0.52083333333333337</v>
      </c>
      <c r="M5" s="208"/>
    </row>
    <row r="6" spans="2:13">
      <c r="B6" s="199"/>
      <c r="C6" s="50" t="s">
        <v>121</v>
      </c>
      <c r="D6" s="52">
        <v>14.7</v>
      </c>
      <c r="E6" s="64">
        <f>D6/24</f>
        <v>0.61249999999999993</v>
      </c>
      <c r="F6" s="200"/>
      <c r="G6" s="201"/>
      <c r="I6" s="91">
        <v>3</v>
      </c>
      <c r="J6" s="50" t="s">
        <v>139</v>
      </c>
      <c r="K6" s="65" t="s">
        <v>108</v>
      </c>
      <c r="L6" s="66">
        <f>G34</f>
        <v>0.51041666666666663</v>
      </c>
      <c r="M6" s="208"/>
    </row>
    <row r="7" spans="2:13">
      <c r="B7" s="199"/>
      <c r="C7" s="50" t="s">
        <v>122</v>
      </c>
      <c r="D7" s="52">
        <v>12.4</v>
      </c>
      <c r="E7" s="64">
        <f>D7/24</f>
        <v>0.51666666666666672</v>
      </c>
      <c r="F7" s="200"/>
      <c r="G7" s="201"/>
      <c r="I7" s="91">
        <v>4</v>
      </c>
      <c r="J7" s="50" t="s">
        <v>139</v>
      </c>
      <c r="K7" s="65" t="s">
        <v>111</v>
      </c>
      <c r="L7" s="66">
        <f>G52</f>
        <v>0.5</v>
      </c>
      <c r="M7" s="208"/>
    </row>
    <row r="8" spans="2:13" ht="16">
      <c r="I8" s="91">
        <v>5</v>
      </c>
      <c r="J8" s="50" t="s">
        <v>139</v>
      </c>
      <c r="K8" s="67" t="s">
        <v>116</v>
      </c>
      <c r="L8" s="66">
        <f>G82</f>
        <v>0.52083333333333337</v>
      </c>
      <c r="M8" s="208"/>
    </row>
    <row r="9" spans="2:13" ht="16" thickBot="1">
      <c r="B9" s="203" t="s">
        <v>104</v>
      </c>
      <c r="C9" s="62" t="s">
        <v>123</v>
      </c>
      <c r="D9" s="62" t="s">
        <v>124</v>
      </c>
      <c r="E9" s="62" t="s">
        <v>125</v>
      </c>
      <c r="F9" s="63" t="s">
        <v>126</v>
      </c>
      <c r="G9" s="63" t="s">
        <v>127</v>
      </c>
      <c r="I9" s="92">
        <v>6</v>
      </c>
      <c r="J9" s="93" t="s">
        <v>138</v>
      </c>
      <c r="K9" s="94" t="s">
        <v>117</v>
      </c>
      <c r="L9" s="95">
        <f>G88</f>
        <v>0.5</v>
      </c>
      <c r="M9" s="209"/>
    </row>
    <row r="10" spans="2:13">
      <c r="B10" s="203"/>
      <c r="C10" s="50" t="s">
        <v>119</v>
      </c>
      <c r="D10" s="52">
        <v>12.6</v>
      </c>
      <c r="E10" s="64">
        <f>D10/24</f>
        <v>0.52500000000000002</v>
      </c>
      <c r="F10" s="200">
        <f>SUM(D10:D13)</f>
        <v>52.5</v>
      </c>
      <c r="G10" s="201">
        <f>F10/96</f>
        <v>0.546875</v>
      </c>
      <c r="I10" s="96">
        <v>7</v>
      </c>
      <c r="J10" s="97" t="s">
        <v>137</v>
      </c>
      <c r="K10" s="98" t="s">
        <v>104</v>
      </c>
      <c r="L10" s="99">
        <f>G10</f>
        <v>0.546875</v>
      </c>
      <c r="M10" s="210">
        <f>AVERAGE(L10:L13)</f>
        <v>0.54036458333333337</v>
      </c>
    </row>
    <row r="11" spans="2:13">
      <c r="B11" s="203"/>
      <c r="C11" s="50" t="s">
        <v>120</v>
      </c>
      <c r="D11" s="52">
        <v>12.4</v>
      </c>
      <c r="E11" s="64">
        <f>D11/24</f>
        <v>0.51666666666666672</v>
      </c>
      <c r="F11" s="200"/>
      <c r="G11" s="201"/>
      <c r="I11" s="91">
        <v>8</v>
      </c>
      <c r="J11" s="50" t="s">
        <v>137</v>
      </c>
      <c r="K11" s="65" t="s">
        <v>106</v>
      </c>
      <c r="L11" s="66">
        <f>G22</f>
        <v>0.546875</v>
      </c>
      <c r="M11" s="208"/>
    </row>
    <row r="12" spans="2:13">
      <c r="B12" s="203"/>
      <c r="C12" s="50" t="s">
        <v>121</v>
      </c>
      <c r="D12" s="52">
        <v>14.7</v>
      </c>
      <c r="E12" s="64">
        <f>D12/24</f>
        <v>0.61249999999999993</v>
      </c>
      <c r="F12" s="200"/>
      <c r="G12" s="201"/>
      <c r="I12" s="91">
        <v>9</v>
      </c>
      <c r="J12" s="50" t="s">
        <v>137</v>
      </c>
      <c r="K12" s="65" t="s">
        <v>110</v>
      </c>
      <c r="L12" s="66">
        <f>G46</f>
        <v>0.52083333333333337</v>
      </c>
      <c r="M12" s="208"/>
    </row>
    <row r="13" spans="2:13" ht="16" thickBot="1">
      <c r="B13" s="203"/>
      <c r="C13" s="50" t="s">
        <v>122</v>
      </c>
      <c r="D13" s="52">
        <v>12.8</v>
      </c>
      <c r="E13" s="64">
        <f>D13/24</f>
        <v>0.53333333333333333</v>
      </c>
      <c r="F13" s="200"/>
      <c r="G13" s="201"/>
      <c r="I13" s="92">
        <v>10</v>
      </c>
      <c r="J13" s="93" t="s">
        <v>137</v>
      </c>
      <c r="K13" s="94" t="s">
        <v>112</v>
      </c>
      <c r="L13" s="95">
        <f>G58</f>
        <v>0.546875</v>
      </c>
      <c r="M13" s="209"/>
    </row>
    <row r="14" spans="2:13">
      <c r="I14" s="96">
        <v>11</v>
      </c>
      <c r="J14" s="97" t="s">
        <v>136</v>
      </c>
      <c r="K14" s="98" t="s">
        <v>107</v>
      </c>
      <c r="L14" s="99">
        <f>G28</f>
        <v>0.59375</v>
      </c>
      <c r="M14" s="210">
        <f>AVERAGE(L14:L18)</f>
        <v>0.59333333333333349</v>
      </c>
    </row>
    <row r="15" spans="2:13">
      <c r="B15" s="199" t="s">
        <v>105</v>
      </c>
      <c r="C15" s="62" t="s">
        <v>123</v>
      </c>
      <c r="D15" s="62" t="s">
        <v>124</v>
      </c>
      <c r="E15" s="62" t="s">
        <v>125</v>
      </c>
      <c r="F15" s="63" t="s">
        <v>126</v>
      </c>
      <c r="G15" s="63" t="s">
        <v>127</v>
      </c>
      <c r="I15" s="91">
        <v>12</v>
      </c>
      <c r="J15" s="50" t="s">
        <v>136</v>
      </c>
      <c r="K15" s="65" t="s">
        <v>109</v>
      </c>
      <c r="L15" s="66">
        <f>G40</f>
        <v>0.58333333333333337</v>
      </c>
      <c r="M15" s="208"/>
    </row>
    <row r="16" spans="2:13">
      <c r="B16" s="199"/>
      <c r="C16" s="50" t="s">
        <v>119</v>
      </c>
      <c r="D16" s="52">
        <v>12.4</v>
      </c>
      <c r="E16" s="64">
        <f>D16/24</f>
        <v>0.51666666666666672</v>
      </c>
      <c r="F16" s="200">
        <f>SUM(D16:D19)</f>
        <v>50</v>
      </c>
      <c r="G16" s="201">
        <f>F16/96</f>
        <v>0.52083333333333337</v>
      </c>
      <c r="I16" s="91">
        <v>15</v>
      </c>
      <c r="J16" s="50" t="s">
        <v>136</v>
      </c>
      <c r="K16" s="65" t="s">
        <v>115</v>
      </c>
      <c r="L16" s="66">
        <f>G76</f>
        <v>0.59375</v>
      </c>
      <c r="M16" s="208"/>
    </row>
    <row r="17" spans="2:13" ht="16">
      <c r="B17" s="199"/>
      <c r="C17" s="50" t="s">
        <v>120</v>
      </c>
      <c r="D17" s="52">
        <v>10.4</v>
      </c>
      <c r="E17" s="64">
        <f>D17/24</f>
        <v>0.43333333333333335</v>
      </c>
      <c r="F17" s="200"/>
      <c r="G17" s="201"/>
      <c r="I17" s="91">
        <v>13</v>
      </c>
      <c r="J17" s="50" t="s">
        <v>135</v>
      </c>
      <c r="K17" s="67" t="s">
        <v>113</v>
      </c>
      <c r="L17" s="66">
        <f>G64</f>
        <v>0.59791666666666665</v>
      </c>
      <c r="M17" s="208"/>
    </row>
    <row r="18" spans="2:13" ht="16" thickBot="1">
      <c r="B18" s="199"/>
      <c r="C18" s="50" t="s">
        <v>121</v>
      </c>
      <c r="D18" s="52">
        <v>13.6</v>
      </c>
      <c r="E18" s="64">
        <f>D18/24</f>
        <v>0.56666666666666665</v>
      </c>
      <c r="F18" s="200"/>
      <c r="G18" s="201"/>
      <c r="I18" s="92">
        <v>14</v>
      </c>
      <c r="J18" s="93" t="s">
        <v>135</v>
      </c>
      <c r="K18" s="94" t="s">
        <v>114</v>
      </c>
      <c r="L18" s="95">
        <f>G70</f>
        <v>0.59791666666666676</v>
      </c>
      <c r="M18" s="209"/>
    </row>
    <row r="19" spans="2:13">
      <c r="B19" s="199"/>
      <c r="C19" s="50" t="s">
        <v>122</v>
      </c>
      <c r="D19" s="52">
        <v>13.6</v>
      </c>
      <c r="E19" s="64">
        <f>D19/24</f>
        <v>0.56666666666666665</v>
      </c>
      <c r="F19" s="200"/>
      <c r="G19" s="201"/>
    </row>
    <row r="21" spans="2:13">
      <c r="B21" s="203" t="s">
        <v>106</v>
      </c>
      <c r="C21" s="62" t="s">
        <v>123</v>
      </c>
      <c r="D21" s="62" t="s">
        <v>124</v>
      </c>
      <c r="E21" s="62" t="s">
        <v>125</v>
      </c>
      <c r="F21" s="63" t="s">
        <v>126</v>
      </c>
      <c r="G21" s="63" t="s">
        <v>127</v>
      </c>
    </row>
    <row r="22" spans="2:13">
      <c r="B22" s="203"/>
      <c r="C22" s="50" t="s">
        <v>119</v>
      </c>
      <c r="D22" s="52">
        <v>12.6</v>
      </c>
      <c r="E22" s="64">
        <f>D22/24</f>
        <v>0.52500000000000002</v>
      </c>
      <c r="F22" s="200">
        <f>SUM(D22:D25)</f>
        <v>52.5</v>
      </c>
      <c r="G22" s="201">
        <f>F22/96</f>
        <v>0.546875</v>
      </c>
    </row>
    <row r="23" spans="2:13">
      <c r="B23" s="203"/>
      <c r="C23" s="50" t="s">
        <v>120</v>
      </c>
      <c r="D23" s="52">
        <v>12.6</v>
      </c>
      <c r="E23" s="64">
        <f>D23/24</f>
        <v>0.52500000000000002</v>
      </c>
      <c r="F23" s="200"/>
      <c r="G23" s="201"/>
    </row>
    <row r="24" spans="2:13">
      <c r="B24" s="203"/>
      <c r="C24" s="50" t="s">
        <v>121</v>
      </c>
      <c r="D24" s="52">
        <v>13.6</v>
      </c>
      <c r="E24" s="64">
        <f>D24/24</f>
        <v>0.56666666666666665</v>
      </c>
      <c r="F24" s="200"/>
      <c r="G24" s="201"/>
    </row>
    <row r="25" spans="2:13">
      <c r="B25" s="203"/>
      <c r="C25" s="50" t="s">
        <v>122</v>
      </c>
      <c r="D25" s="52">
        <v>13.7</v>
      </c>
      <c r="E25" s="64">
        <f>D25/24</f>
        <v>0.5708333333333333</v>
      </c>
      <c r="F25" s="200"/>
      <c r="G25" s="201"/>
    </row>
    <row r="27" spans="2:13">
      <c r="B27" s="204" t="s">
        <v>107</v>
      </c>
      <c r="C27" s="62" t="s">
        <v>123</v>
      </c>
      <c r="D27" s="62" t="s">
        <v>124</v>
      </c>
      <c r="E27" s="62" t="s">
        <v>125</v>
      </c>
      <c r="F27" s="63" t="s">
        <v>126</v>
      </c>
      <c r="G27" s="63" t="s">
        <v>127</v>
      </c>
    </row>
    <row r="28" spans="2:13">
      <c r="B28" s="204"/>
      <c r="C28" s="50" t="s">
        <v>119</v>
      </c>
      <c r="D28" s="52">
        <v>14.2</v>
      </c>
      <c r="E28" s="64">
        <f>D28/24</f>
        <v>0.59166666666666667</v>
      </c>
      <c r="F28" s="200">
        <f>SUM(D28:D31)</f>
        <v>57</v>
      </c>
      <c r="G28" s="201">
        <f>F28/96</f>
        <v>0.59375</v>
      </c>
    </row>
    <row r="29" spans="2:13">
      <c r="B29" s="204"/>
      <c r="C29" s="50" t="s">
        <v>120</v>
      </c>
      <c r="D29" s="52">
        <v>14.8</v>
      </c>
      <c r="E29" s="64">
        <f>D29/24</f>
        <v>0.6166666666666667</v>
      </c>
      <c r="F29" s="200"/>
      <c r="G29" s="201"/>
    </row>
    <row r="30" spans="2:13">
      <c r="B30" s="204"/>
      <c r="C30" s="50" t="s">
        <v>121</v>
      </c>
      <c r="D30" s="52">
        <v>15</v>
      </c>
      <c r="E30" s="64">
        <f>D30/24</f>
        <v>0.625</v>
      </c>
      <c r="F30" s="200"/>
      <c r="G30" s="201"/>
    </row>
    <row r="31" spans="2:13">
      <c r="B31" s="204"/>
      <c r="C31" s="50" t="s">
        <v>122</v>
      </c>
      <c r="D31" s="52">
        <v>13</v>
      </c>
      <c r="E31" s="64">
        <f>D31/24</f>
        <v>0.54166666666666663</v>
      </c>
      <c r="F31" s="200"/>
      <c r="G31" s="201"/>
    </row>
    <row r="33" spans="2:7">
      <c r="B33" s="199" t="s">
        <v>108</v>
      </c>
      <c r="C33" s="62" t="s">
        <v>123</v>
      </c>
      <c r="D33" s="62" t="s">
        <v>124</v>
      </c>
      <c r="E33" s="62" t="s">
        <v>125</v>
      </c>
      <c r="F33" s="63" t="s">
        <v>126</v>
      </c>
      <c r="G33" s="63" t="s">
        <v>127</v>
      </c>
    </row>
    <row r="34" spans="2:7">
      <c r="B34" s="199"/>
      <c r="C34" s="50" t="s">
        <v>119</v>
      </c>
      <c r="D34" s="52">
        <v>12.2</v>
      </c>
      <c r="E34" s="64">
        <f>D34/24</f>
        <v>0.5083333333333333</v>
      </c>
      <c r="F34" s="200">
        <f>SUM(D34:D37)</f>
        <v>48.999999999999993</v>
      </c>
      <c r="G34" s="201">
        <f>F34/96</f>
        <v>0.51041666666666663</v>
      </c>
    </row>
    <row r="35" spans="2:7">
      <c r="B35" s="199"/>
      <c r="C35" s="50" t="s">
        <v>120</v>
      </c>
      <c r="D35" s="52">
        <v>10.6</v>
      </c>
      <c r="E35" s="64">
        <f>D35/24</f>
        <v>0.44166666666666665</v>
      </c>
      <c r="F35" s="200"/>
      <c r="G35" s="201"/>
    </row>
    <row r="36" spans="2:7">
      <c r="B36" s="199"/>
      <c r="C36" s="50" t="s">
        <v>121</v>
      </c>
      <c r="D36" s="52">
        <v>12.8</v>
      </c>
      <c r="E36" s="64">
        <f>D36/24</f>
        <v>0.53333333333333333</v>
      </c>
      <c r="F36" s="200"/>
      <c r="G36" s="201"/>
    </row>
    <row r="37" spans="2:7">
      <c r="B37" s="199"/>
      <c r="C37" s="50" t="s">
        <v>122</v>
      </c>
      <c r="D37" s="52">
        <v>13.4</v>
      </c>
      <c r="E37" s="64">
        <f>D37/24</f>
        <v>0.55833333333333335</v>
      </c>
      <c r="F37" s="200"/>
      <c r="G37" s="201"/>
    </row>
    <row r="39" spans="2:7">
      <c r="B39" s="204" t="s">
        <v>109</v>
      </c>
      <c r="C39" s="62" t="s">
        <v>123</v>
      </c>
      <c r="D39" s="62" t="s">
        <v>124</v>
      </c>
      <c r="E39" s="62" t="s">
        <v>125</v>
      </c>
      <c r="F39" s="63" t="s">
        <v>126</v>
      </c>
      <c r="G39" s="63" t="s">
        <v>127</v>
      </c>
    </row>
    <row r="40" spans="2:7">
      <c r="B40" s="204"/>
      <c r="C40" s="50" t="s">
        <v>119</v>
      </c>
      <c r="D40" s="52">
        <v>14</v>
      </c>
      <c r="E40" s="64">
        <f>D40/24</f>
        <v>0.58333333333333337</v>
      </c>
      <c r="F40" s="200">
        <f>SUM(D40:D43)</f>
        <v>56</v>
      </c>
      <c r="G40" s="201">
        <f>F40/96</f>
        <v>0.58333333333333337</v>
      </c>
    </row>
    <row r="41" spans="2:7">
      <c r="B41" s="204"/>
      <c r="C41" s="50" t="s">
        <v>120</v>
      </c>
      <c r="D41" s="52">
        <v>14.5</v>
      </c>
      <c r="E41" s="64">
        <f>D41/24</f>
        <v>0.60416666666666663</v>
      </c>
      <c r="F41" s="200"/>
      <c r="G41" s="201"/>
    </row>
    <row r="42" spans="2:7">
      <c r="B42" s="204"/>
      <c r="C42" s="50" t="s">
        <v>121</v>
      </c>
      <c r="D42" s="52">
        <v>14.2</v>
      </c>
      <c r="E42" s="64">
        <f>D42/24</f>
        <v>0.59166666666666667</v>
      </c>
      <c r="F42" s="200"/>
      <c r="G42" s="201"/>
    </row>
    <row r="43" spans="2:7">
      <c r="B43" s="204"/>
      <c r="C43" s="50" t="s">
        <v>122</v>
      </c>
      <c r="D43" s="52">
        <v>13.3</v>
      </c>
      <c r="E43" s="64">
        <f>D43/24</f>
        <v>0.5541666666666667</v>
      </c>
      <c r="F43" s="200"/>
      <c r="G43" s="201"/>
    </row>
    <row r="45" spans="2:7">
      <c r="B45" s="203" t="s">
        <v>110</v>
      </c>
      <c r="C45" s="62" t="s">
        <v>123</v>
      </c>
      <c r="D45" s="62" t="s">
        <v>124</v>
      </c>
      <c r="E45" s="62" t="s">
        <v>125</v>
      </c>
      <c r="F45" s="63" t="s">
        <v>126</v>
      </c>
      <c r="G45" s="63" t="s">
        <v>127</v>
      </c>
    </row>
    <row r="46" spans="2:7">
      <c r="B46" s="203"/>
      <c r="C46" s="50" t="s">
        <v>119</v>
      </c>
      <c r="D46" s="52">
        <v>11.3</v>
      </c>
      <c r="E46" s="64">
        <f>D46/24</f>
        <v>0.47083333333333338</v>
      </c>
      <c r="F46" s="200">
        <f>SUM(D46:D49)</f>
        <v>50</v>
      </c>
      <c r="G46" s="201">
        <f>F46/96</f>
        <v>0.52083333333333337</v>
      </c>
    </row>
    <row r="47" spans="2:7">
      <c r="B47" s="203"/>
      <c r="C47" s="50" t="s">
        <v>120</v>
      </c>
      <c r="D47" s="52">
        <v>10.8</v>
      </c>
      <c r="E47" s="64">
        <f>D47/24</f>
        <v>0.45</v>
      </c>
      <c r="F47" s="200"/>
      <c r="G47" s="201"/>
    </row>
    <row r="48" spans="2:7">
      <c r="B48" s="203"/>
      <c r="C48" s="50" t="s">
        <v>121</v>
      </c>
      <c r="D48" s="52">
        <v>12.1</v>
      </c>
      <c r="E48" s="64">
        <f>D48/24</f>
        <v>0.50416666666666665</v>
      </c>
      <c r="F48" s="200"/>
      <c r="G48" s="201"/>
    </row>
    <row r="49" spans="2:7">
      <c r="B49" s="203"/>
      <c r="C49" s="50" t="s">
        <v>122</v>
      </c>
      <c r="D49" s="52">
        <v>15.8</v>
      </c>
      <c r="E49" s="64">
        <f>D49/24</f>
        <v>0.65833333333333333</v>
      </c>
      <c r="F49" s="200"/>
      <c r="G49" s="201"/>
    </row>
    <row r="51" spans="2:7">
      <c r="B51" s="199" t="s">
        <v>128</v>
      </c>
      <c r="C51" s="62" t="s">
        <v>123</v>
      </c>
      <c r="D51" s="62" t="s">
        <v>124</v>
      </c>
      <c r="E51" s="62" t="s">
        <v>125</v>
      </c>
      <c r="F51" s="63" t="s">
        <v>126</v>
      </c>
      <c r="G51" s="63" t="s">
        <v>127</v>
      </c>
    </row>
    <row r="52" spans="2:7">
      <c r="B52" s="199"/>
      <c r="C52" s="50" t="s">
        <v>119</v>
      </c>
      <c r="D52" s="52">
        <v>11.8</v>
      </c>
      <c r="E52" s="64">
        <f>D52/24</f>
        <v>0.4916666666666667</v>
      </c>
      <c r="F52" s="200">
        <f>SUM(D52:D55)</f>
        <v>48</v>
      </c>
      <c r="G52" s="201">
        <f>F52/96</f>
        <v>0.5</v>
      </c>
    </row>
    <row r="53" spans="2:7">
      <c r="B53" s="199"/>
      <c r="C53" s="50" t="s">
        <v>120</v>
      </c>
      <c r="D53" s="52">
        <v>10.4</v>
      </c>
      <c r="E53" s="64">
        <f>D53/24</f>
        <v>0.43333333333333335</v>
      </c>
      <c r="F53" s="200"/>
      <c r="G53" s="201"/>
    </row>
    <row r="54" spans="2:7">
      <c r="B54" s="199"/>
      <c r="C54" s="50" t="s">
        <v>121</v>
      </c>
      <c r="D54" s="52">
        <v>12.4</v>
      </c>
      <c r="E54" s="64">
        <f>D54/24</f>
        <v>0.51666666666666672</v>
      </c>
      <c r="F54" s="200"/>
      <c r="G54" s="201"/>
    </row>
    <row r="55" spans="2:7">
      <c r="B55" s="199"/>
      <c r="C55" s="50" t="s">
        <v>122</v>
      </c>
      <c r="D55" s="52">
        <v>13.4</v>
      </c>
      <c r="E55" s="64">
        <f>D55/24</f>
        <v>0.55833333333333335</v>
      </c>
      <c r="F55" s="200"/>
      <c r="G55" s="201"/>
    </row>
    <row r="57" spans="2:7">
      <c r="B57" s="203" t="s">
        <v>112</v>
      </c>
      <c r="C57" s="62" t="s">
        <v>123</v>
      </c>
      <c r="D57" s="62" t="s">
        <v>124</v>
      </c>
      <c r="E57" s="62" t="s">
        <v>125</v>
      </c>
      <c r="F57" s="63" t="s">
        <v>126</v>
      </c>
      <c r="G57" s="63" t="s">
        <v>127</v>
      </c>
    </row>
    <row r="58" spans="2:7">
      <c r="B58" s="203"/>
      <c r="C58" s="50" t="s">
        <v>119</v>
      </c>
      <c r="D58" s="52">
        <v>12.8</v>
      </c>
      <c r="E58" s="64">
        <f>D58/24</f>
        <v>0.53333333333333333</v>
      </c>
      <c r="F58" s="200">
        <f>SUM(D58:D61)</f>
        <v>52.5</v>
      </c>
      <c r="G58" s="201">
        <f>F58/96</f>
        <v>0.546875</v>
      </c>
    </row>
    <row r="59" spans="2:7">
      <c r="B59" s="203"/>
      <c r="C59" s="50" t="s">
        <v>120</v>
      </c>
      <c r="D59" s="52">
        <v>13.7</v>
      </c>
      <c r="E59" s="64">
        <f>D59/24</f>
        <v>0.5708333333333333</v>
      </c>
      <c r="F59" s="200"/>
      <c r="G59" s="201"/>
    </row>
    <row r="60" spans="2:7">
      <c r="B60" s="203"/>
      <c r="C60" s="50" t="s">
        <v>121</v>
      </c>
      <c r="D60" s="52">
        <v>12.6</v>
      </c>
      <c r="E60" s="64">
        <f>D60/24</f>
        <v>0.52500000000000002</v>
      </c>
      <c r="F60" s="200"/>
      <c r="G60" s="201"/>
    </row>
    <row r="61" spans="2:7">
      <c r="B61" s="203"/>
      <c r="C61" s="50" t="s">
        <v>122</v>
      </c>
      <c r="D61" s="52">
        <v>13.4</v>
      </c>
      <c r="E61" s="64">
        <f>D61/24</f>
        <v>0.55833333333333335</v>
      </c>
      <c r="F61" s="200"/>
      <c r="G61" s="201"/>
    </row>
    <row r="63" spans="2:7">
      <c r="B63" s="204" t="s">
        <v>129</v>
      </c>
      <c r="C63" s="62" t="s">
        <v>123</v>
      </c>
      <c r="D63" s="62" t="s">
        <v>124</v>
      </c>
      <c r="E63" s="62" t="s">
        <v>125</v>
      </c>
      <c r="F63" s="63" t="s">
        <v>126</v>
      </c>
      <c r="G63" s="63" t="s">
        <v>127</v>
      </c>
    </row>
    <row r="64" spans="2:7">
      <c r="B64" s="204"/>
      <c r="C64" s="50" t="s">
        <v>119</v>
      </c>
      <c r="D64" s="52">
        <v>15.2</v>
      </c>
      <c r="E64" s="64">
        <f>D64/24</f>
        <v>0.6333333333333333</v>
      </c>
      <c r="F64" s="200">
        <f>SUM(D64:D67)</f>
        <v>57.4</v>
      </c>
      <c r="G64" s="201">
        <f>F64/96</f>
        <v>0.59791666666666665</v>
      </c>
    </row>
    <row r="65" spans="2:7">
      <c r="B65" s="204"/>
      <c r="C65" s="50" t="s">
        <v>120</v>
      </c>
      <c r="D65" s="52">
        <v>15.2</v>
      </c>
      <c r="E65" s="64">
        <f>D65/24</f>
        <v>0.6333333333333333</v>
      </c>
      <c r="F65" s="200"/>
      <c r="G65" s="201"/>
    </row>
    <row r="66" spans="2:7">
      <c r="B66" s="204"/>
      <c r="C66" s="50" t="s">
        <v>121</v>
      </c>
      <c r="D66" s="52">
        <v>14</v>
      </c>
      <c r="E66" s="64">
        <f>D66/24</f>
        <v>0.58333333333333337</v>
      </c>
      <c r="F66" s="200"/>
      <c r="G66" s="201"/>
    </row>
    <row r="67" spans="2:7">
      <c r="B67" s="204"/>
      <c r="C67" s="50" t="s">
        <v>122</v>
      </c>
      <c r="D67" s="52">
        <v>13</v>
      </c>
      <c r="E67" s="64">
        <f>D67/24</f>
        <v>0.54166666666666663</v>
      </c>
      <c r="F67" s="200"/>
      <c r="G67" s="201"/>
    </row>
    <row r="69" spans="2:7">
      <c r="B69" s="204" t="s">
        <v>130</v>
      </c>
      <c r="C69" s="62" t="s">
        <v>123</v>
      </c>
      <c r="D69" s="62" t="s">
        <v>124</v>
      </c>
      <c r="E69" s="62" t="s">
        <v>125</v>
      </c>
      <c r="F69" s="63" t="s">
        <v>126</v>
      </c>
      <c r="G69" s="63" t="s">
        <v>127</v>
      </c>
    </row>
    <row r="70" spans="2:7">
      <c r="B70" s="204"/>
      <c r="C70" s="50" t="s">
        <v>119</v>
      </c>
      <c r="D70" s="52">
        <v>14.4</v>
      </c>
      <c r="E70" s="64">
        <f>D70/24</f>
        <v>0.6</v>
      </c>
      <c r="F70" s="200">
        <f>SUM(D70:D73)</f>
        <v>57.400000000000006</v>
      </c>
      <c r="G70" s="201">
        <f>F70/96</f>
        <v>0.59791666666666676</v>
      </c>
    </row>
    <row r="71" spans="2:7">
      <c r="B71" s="204"/>
      <c r="C71" s="50" t="s">
        <v>120</v>
      </c>
      <c r="D71" s="52">
        <v>14.8</v>
      </c>
      <c r="E71" s="64">
        <f>D71/24</f>
        <v>0.6166666666666667</v>
      </c>
      <c r="F71" s="200"/>
      <c r="G71" s="201"/>
    </row>
    <row r="72" spans="2:7">
      <c r="B72" s="204"/>
      <c r="C72" s="50" t="s">
        <v>121</v>
      </c>
      <c r="D72" s="52">
        <v>14.4</v>
      </c>
      <c r="E72" s="64">
        <f>D72/24</f>
        <v>0.6</v>
      </c>
      <c r="F72" s="200"/>
      <c r="G72" s="201"/>
    </row>
    <row r="73" spans="2:7">
      <c r="B73" s="204"/>
      <c r="C73" s="50" t="s">
        <v>122</v>
      </c>
      <c r="D73" s="52">
        <v>13.8</v>
      </c>
      <c r="E73" s="64">
        <f>D73/24</f>
        <v>0.57500000000000007</v>
      </c>
      <c r="F73" s="200"/>
      <c r="G73" s="201"/>
    </row>
    <row r="75" spans="2:7">
      <c r="B75" s="204" t="s">
        <v>115</v>
      </c>
      <c r="C75" s="62" t="s">
        <v>123</v>
      </c>
      <c r="D75" s="62" t="s">
        <v>124</v>
      </c>
      <c r="E75" s="62" t="s">
        <v>125</v>
      </c>
      <c r="F75" s="63" t="s">
        <v>126</v>
      </c>
      <c r="G75" s="63" t="s">
        <v>127</v>
      </c>
    </row>
    <row r="76" spans="2:7">
      <c r="B76" s="204"/>
      <c r="C76" s="50" t="s">
        <v>119</v>
      </c>
      <c r="D76" s="52">
        <v>14.2</v>
      </c>
      <c r="E76" s="64">
        <f>D76/24</f>
        <v>0.59166666666666667</v>
      </c>
      <c r="F76" s="200">
        <f>SUM(D76:D79)</f>
        <v>57</v>
      </c>
      <c r="G76" s="201">
        <f>F76/96</f>
        <v>0.59375</v>
      </c>
    </row>
    <row r="77" spans="2:7">
      <c r="B77" s="204"/>
      <c r="C77" s="50" t="s">
        <v>120</v>
      </c>
      <c r="D77" s="52">
        <v>13.8</v>
      </c>
      <c r="E77" s="64">
        <f>D77/24</f>
        <v>0.57500000000000007</v>
      </c>
      <c r="F77" s="200"/>
      <c r="G77" s="201"/>
    </row>
    <row r="78" spans="2:7">
      <c r="B78" s="204"/>
      <c r="C78" s="50" t="s">
        <v>121</v>
      </c>
      <c r="D78" s="52">
        <v>13.8</v>
      </c>
      <c r="E78" s="64">
        <f>D78/24</f>
        <v>0.57500000000000007</v>
      </c>
      <c r="F78" s="200"/>
      <c r="G78" s="201"/>
    </row>
    <row r="79" spans="2:7">
      <c r="B79" s="204"/>
      <c r="C79" s="50" t="s">
        <v>122</v>
      </c>
      <c r="D79" s="52">
        <v>15.2</v>
      </c>
      <c r="E79" s="64">
        <f>D79/24</f>
        <v>0.6333333333333333</v>
      </c>
      <c r="F79" s="200"/>
      <c r="G79" s="201"/>
    </row>
    <row r="81" spans="2:7">
      <c r="B81" s="199" t="s">
        <v>131</v>
      </c>
      <c r="C81" s="62" t="s">
        <v>123</v>
      </c>
      <c r="D81" s="62" t="s">
        <v>124</v>
      </c>
      <c r="E81" s="62" t="s">
        <v>125</v>
      </c>
      <c r="F81" s="63" t="s">
        <v>126</v>
      </c>
      <c r="G81" s="63" t="s">
        <v>127</v>
      </c>
    </row>
    <row r="82" spans="2:7">
      <c r="B82" s="199"/>
      <c r="C82" s="50" t="s">
        <v>119</v>
      </c>
      <c r="D82" s="52">
        <v>12.2</v>
      </c>
      <c r="E82" s="64">
        <f>D82/24</f>
        <v>0.5083333333333333</v>
      </c>
      <c r="F82" s="200">
        <f>SUM(D82:D85)</f>
        <v>50</v>
      </c>
      <c r="G82" s="201">
        <f>F82/96</f>
        <v>0.52083333333333337</v>
      </c>
    </row>
    <row r="83" spans="2:7">
      <c r="B83" s="199"/>
      <c r="C83" s="50" t="s">
        <v>120</v>
      </c>
      <c r="D83" s="52">
        <v>10.8</v>
      </c>
      <c r="E83" s="64">
        <f>D83/24</f>
        <v>0.45</v>
      </c>
      <c r="F83" s="200"/>
      <c r="G83" s="201"/>
    </row>
    <row r="84" spans="2:7">
      <c r="B84" s="199"/>
      <c r="C84" s="50" t="s">
        <v>121</v>
      </c>
      <c r="D84" s="52">
        <v>12.3</v>
      </c>
      <c r="E84" s="64">
        <f>D84/24</f>
        <v>0.51250000000000007</v>
      </c>
      <c r="F84" s="200"/>
      <c r="G84" s="201"/>
    </row>
    <row r="85" spans="2:7">
      <c r="B85" s="199"/>
      <c r="C85" s="50" t="s">
        <v>122</v>
      </c>
      <c r="D85" s="52">
        <v>14.7</v>
      </c>
      <c r="E85" s="64">
        <f>D85/24</f>
        <v>0.61249999999999993</v>
      </c>
      <c r="F85" s="200"/>
      <c r="G85" s="201"/>
    </row>
    <row r="87" spans="2:7">
      <c r="B87" s="199" t="s">
        <v>117</v>
      </c>
      <c r="C87" s="62" t="s">
        <v>123</v>
      </c>
      <c r="D87" s="62" t="s">
        <v>124</v>
      </c>
      <c r="E87" s="62" t="s">
        <v>125</v>
      </c>
      <c r="F87" s="63" t="s">
        <v>126</v>
      </c>
      <c r="G87" s="63" t="s">
        <v>127</v>
      </c>
    </row>
    <row r="88" spans="2:7">
      <c r="B88" s="199"/>
      <c r="C88" s="50" t="s">
        <v>119</v>
      </c>
      <c r="D88" s="52">
        <v>11.4</v>
      </c>
      <c r="E88" s="64">
        <f>D88/24</f>
        <v>0.47500000000000003</v>
      </c>
      <c r="F88" s="200">
        <f>SUM(D88:D91)</f>
        <v>48</v>
      </c>
      <c r="G88" s="201">
        <f>F88/96</f>
        <v>0.5</v>
      </c>
    </row>
    <row r="89" spans="2:7">
      <c r="B89" s="199"/>
      <c r="C89" s="50" t="s">
        <v>120</v>
      </c>
      <c r="D89" s="52">
        <v>10.199999999999999</v>
      </c>
      <c r="E89" s="64">
        <f>D89/24</f>
        <v>0.42499999999999999</v>
      </c>
      <c r="F89" s="200"/>
      <c r="G89" s="201"/>
    </row>
    <row r="90" spans="2:7">
      <c r="B90" s="199"/>
      <c r="C90" s="50" t="s">
        <v>121</v>
      </c>
      <c r="D90" s="52">
        <v>11.7</v>
      </c>
      <c r="E90" s="64">
        <f>D90/24</f>
        <v>0.48749999999999999</v>
      </c>
      <c r="F90" s="200"/>
      <c r="G90" s="201"/>
    </row>
    <row r="91" spans="2:7">
      <c r="B91" s="199"/>
      <c r="C91" s="50" t="s">
        <v>122</v>
      </c>
      <c r="D91" s="52">
        <v>14.7</v>
      </c>
      <c r="E91" s="64">
        <f>D91/24</f>
        <v>0.61249999999999993</v>
      </c>
      <c r="F91" s="200"/>
      <c r="G91" s="201"/>
    </row>
  </sheetData>
  <mergeCells count="51">
    <mergeCell ref="L3:M3"/>
    <mergeCell ref="B87:B91"/>
    <mergeCell ref="F88:F91"/>
    <mergeCell ref="G88:G91"/>
    <mergeCell ref="M4:M9"/>
    <mergeCell ref="M10:M13"/>
    <mergeCell ref="M14:M18"/>
    <mergeCell ref="B75:B79"/>
    <mergeCell ref="F76:F79"/>
    <mergeCell ref="G76:G79"/>
    <mergeCell ref="B81:B85"/>
    <mergeCell ref="F82:F85"/>
    <mergeCell ref="G82:G85"/>
    <mergeCell ref="B69:B73"/>
    <mergeCell ref="F70:F73"/>
    <mergeCell ref="G70:G73"/>
    <mergeCell ref="B57:B61"/>
    <mergeCell ref="F58:F61"/>
    <mergeCell ref="G58:G61"/>
    <mergeCell ref="B63:B67"/>
    <mergeCell ref="F64:F67"/>
    <mergeCell ref="G64:G67"/>
    <mergeCell ref="B45:B49"/>
    <mergeCell ref="F46:F49"/>
    <mergeCell ref="G46:G49"/>
    <mergeCell ref="B51:B55"/>
    <mergeCell ref="F52:F55"/>
    <mergeCell ref="G52:G55"/>
    <mergeCell ref="B33:B37"/>
    <mergeCell ref="F34:F37"/>
    <mergeCell ref="G34:G37"/>
    <mergeCell ref="B39:B43"/>
    <mergeCell ref="F40:F43"/>
    <mergeCell ref="G40:G43"/>
    <mergeCell ref="B21:B25"/>
    <mergeCell ref="F22:F25"/>
    <mergeCell ref="G22:G25"/>
    <mergeCell ref="B27:B31"/>
    <mergeCell ref="F28:F31"/>
    <mergeCell ref="G28:G31"/>
    <mergeCell ref="C1:D1"/>
    <mergeCell ref="F10:F13"/>
    <mergeCell ref="G10:G13"/>
    <mergeCell ref="B3:B7"/>
    <mergeCell ref="B9:B13"/>
    <mergeCell ref="C2:D2"/>
    <mergeCell ref="B15:B19"/>
    <mergeCell ref="F16:F19"/>
    <mergeCell ref="G16:G19"/>
    <mergeCell ref="F4:F7"/>
    <mergeCell ref="G4:G7"/>
  </mergeCells>
  <conditionalFormatting sqref="E4:E7">
    <cfRule type="dataBar" priority="3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{ED11D6F6-CC4C-3644-BE8F-7DC17FCDF7F6}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{8F260345-A925-3B48-BF2F-D869589BB09E}</x14:id>
        </ext>
      </extLst>
    </cfRule>
  </conditionalFormatting>
  <conditionalFormatting sqref="E10:E13">
    <cfRule type="dataBar" priority="3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{32188263-22AB-2E42-B9FF-D68C081A4218}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{C422C690-4124-8248-82E7-503FFF9BFA7E}</x14:id>
        </ext>
      </extLst>
    </cfRule>
  </conditionalFormatting>
  <conditionalFormatting sqref="E16:E19">
    <cfRule type="dataBar" priority="2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{9F645937-9011-0948-AF07-912E93869722}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{54001E89-2D53-C34A-B2F7-A5F71DD4D899}</x14:id>
        </ext>
      </extLst>
    </cfRule>
  </conditionalFormatting>
  <conditionalFormatting sqref="E22:E25">
    <cfRule type="dataBar" priority="2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{AF2CE715-06B6-1148-8962-CC5741BB511D}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{B67611D0-DE1F-4844-A2A5-4F99659B2E76}</x14:id>
        </ext>
      </extLst>
    </cfRule>
  </conditionalFormatting>
  <conditionalFormatting sqref="E28:E31">
    <cfRule type="dataBar" priority="25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{8EAD6BAB-CA31-874F-AE03-444C7327DA65}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{F10EA5BE-1E14-D944-B3C9-7A8CA6BBA0DA}</x14:id>
        </ext>
      </extLst>
    </cfRule>
  </conditionalFormatting>
  <conditionalFormatting sqref="E34:E37">
    <cfRule type="dataBar" priority="2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{A8ED4DDE-B94A-2249-B123-FDC4BB9E3642}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{E19C6C0B-C7D9-7342-B6C4-C056270A75A0}</x14:id>
        </ext>
      </extLst>
    </cfRule>
  </conditionalFormatting>
  <conditionalFormatting sqref="E40:E43">
    <cfRule type="dataBar" priority="2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{BB6AEB3A-F5E7-3F43-9012-1BB142FB5CDD}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{2A6F4705-02BE-2B4D-BF4A-D3EB552207A8}</x14:id>
        </ext>
      </extLst>
    </cfRule>
  </conditionalFormatting>
  <conditionalFormatting sqref="E46:E49">
    <cfRule type="dataBar" priority="1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{4C85AB0E-0F6F-3046-AE61-1BFA37A2CFEE}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{C6898D7B-3C6F-D148-B576-130E2E5B5BF5}</x14:id>
        </ext>
      </extLst>
    </cfRule>
  </conditionalFormatting>
  <conditionalFormatting sqref="E52:E55">
    <cfRule type="dataBar" priority="1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{AE18226D-EAC1-4846-9839-F1161E7B5DD8}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{776A8B59-239A-BF48-8252-1CA9A7F5227F}</x14:id>
        </ext>
      </extLst>
    </cfRule>
  </conditionalFormatting>
  <conditionalFormatting sqref="E58:E61">
    <cfRule type="dataBar" priority="15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{E28E2229-E5FC-9545-8D71-EC774F75547F}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{C07503AA-B358-3D47-A765-13BEEDA9922B}</x14:id>
        </ext>
      </extLst>
    </cfRule>
  </conditionalFormatting>
  <conditionalFormatting sqref="E64:E67">
    <cfRule type="dataBar" priority="1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{47EAE030-B79C-3247-8247-CAD35065D9D4}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{53BC64B8-6738-5242-AF60-1438C140BFBC}</x14:id>
        </ext>
      </extLst>
    </cfRule>
  </conditionalFormatting>
  <conditionalFormatting sqref="E70:E73">
    <cfRule type="dataBar" priority="1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{A5BFD713-35E3-8346-9D70-3DCAF2F7C8D6}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{B423E20A-7F80-9645-8799-473ED2F00045}</x14:id>
        </ext>
      </extLst>
    </cfRule>
  </conditionalFormatting>
  <conditionalFormatting sqref="E76:E79">
    <cfRule type="dataBar" priority="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{F018A269-AE04-1F45-8E3C-C0602C414865}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{81E87A77-34CF-554A-8771-E591B20BF914}</x14:id>
        </ext>
      </extLst>
    </cfRule>
  </conditionalFormatting>
  <conditionalFormatting sqref="E82:E85">
    <cfRule type="dataBar" priority="5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{E53D1FCB-5B08-BA4A-979A-7A3719B84502}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{134BBE07-3E9C-9446-84DF-DC222079A974}</x14:id>
        </ext>
      </extLst>
    </cfRule>
  </conditionalFormatting>
  <conditionalFormatting sqref="E88:E91">
    <cfRule type="dataBar" priority="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{E0BD939A-8B73-2044-8101-97A3D9215262}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{DA54792F-886F-AD46-B0D1-81B1425723B9}</x14:id>
        </ext>
      </extLst>
    </cfRule>
  </conditionalFormatting>
  <conditionalFormatting sqref="E4:E7 E10:E13 E16:E19 E22:E25 E28:E31 E34:E37 E40:E43 E46:E49 E52:E55 E58:E61 E64:E67 E70:E73 E76:E79 E82:E85 E88:E91">
    <cfRule type="dataBar" priority="1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{48D55EA9-4D37-F743-9ED7-BB69C10ADED9}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{CA40EAEC-A8F5-C747-A6D5-30D3E63439B4}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11D6F6-CC4C-3644-BE8F-7DC17FCDF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260345-A925-3B48-BF2F-D869589BB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E4:E7</xm:sqref>
        </x14:conditionalFormatting>
        <x14:conditionalFormatting xmlns:xm="http://schemas.microsoft.com/office/excel/2006/main">
          <x14:cfRule type="dataBar" id="{32188263-22AB-2E42-B9FF-D68C081A4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22C690-4124-8248-82E7-503FFF9BFA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E10:E13</xm:sqref>
        </x14:conditionalFormatting>
        <x14:conditionalFormatting xmlns:xm="http://schemas.microsoft.com/office/excel/2006/main">
          <x14:cfRule type="dataBar" id="{9F645937-9011-0948-AF07-912E938697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001E89-2D53-C34A-B2F7-A5F71DD4D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E16:E19</xm:sqref>
        </x14:conditionalFormatting>
        <x14:conditionalFormatting xmlns:xm="http://schemas.microsoft.com/office/excel/2006/main">
          <x14:cfRule type="dataBar" id="{AF2CE715-06B6-1148-8962-CC5741BB5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7611D0-DE1F-4844-A2A5-4F99659B2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E22:E25</xm:sqref>
        </x14:conditionalFormatting>
        <x14:conditionalFormatting xmlns:xm="http://schemas.microsoft.com/office/excel/2006/main">
          <x14:cfRule type="dataBar" id="{8EAD6BAB-CA31-874F-AE03-444C7327D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0EA5BE-1E14-D944-B3C9-7A8CA6BBA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E28:E31</xm:sqref>
        </x14:conditionalFormatting>
        <x14:conditionalFormatting xmlns:xm="http://schemas.microsoft.com/office/excel/2006/main">
          <x14:cfRule type="dataBar" id="{A8ED4DDE-B94A-2249-B123-FDC4BB9E3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9C6C0B-C7D9-7342-B6C4-C056270A7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E34:E37</xm:sqref>
        </x14:conditionalFormatting>
        <x14:conditionalFormatting xmlns:xm="http://schemas.microsoft.com/office/excel/2006/main">
          <x14:cfRule type="dataBar" id="{BB6AEB3A-F5E7-3F43-9012-1BB142FB5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6F4705-02BE-2B4D-BF4A-D3EB55220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E40:E43</xm:sqref>
        </x14:conditionalFormatting>
        <x14:conditionalFormatting xmlns:xm="http://schemas.microsoft.com/office/excel/2006/main">
          <x14:cfRule type="dataBar" id="{4C85AB0E-0F6F-3046-AE61-1BFA37A2C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898D7B-3C6F-D148-B576-130E2E5B5B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E46:E49</xm:sqref>
        </x14:conditionalFormatting>
        <x14:conditionalFormatting xmlns:xm="http://schemas.microsoft.com/office/excel/2006/main">
          <x14:cfRule type="dataBar" id="{AE18226D-EAC1-4846-9839-F1161E7B5D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6A8B59-239A-BF48-8252-1CA9A7F52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E52:E55</xm:sqref>
        </x14:conditionalFormatting>
        <x14:conditionalFormatting xmlns:xm="http://schemas.microsoft.com/office/excel/2006/main">
          <x14:cfRule type="dataBar" id="{E28E2229-E5FC-9545-8D71-EC774F755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503AA-B358-3D47-A765-13BEEDA99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E58:E61</xm:sqref>
        </x14:conditionalFormatting>
        <x14:conditionalFormatting xmlns:xm="http://schemas.microsoft.com/office/excel/2006/main">
          <x14:cfRule type="dataBar" id="{47EAE030-B79C-3247-8247-CAD35065D9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BC64B8-6738-5242-AF60-1438C140B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E64:E67</xm:sqref>
        </x14:conditionalFormatting>
        <x14:conditionalFormatting xmlns:xm="http://schemas.microsoft.com/office/excel/2006/main">
          <x14:cfRule type="dataBar" id="{A5BFD713-35E3-8346-9D70-3DCAF2F7C8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23E20A-7F80-9645-8799-473ED2F000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E70:E73</xm:sqref>
        </x14:conditionalFormatting>
        <x14:conditionalFormatting xmlns:xm="http://schemas.microsoft.com/office/excel/2006/main">
          <x14:cfRule type="dataBar" id="{F018A269-AE04-1F45-8E3C-C0602C4148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E87A77-34CF-554A-8771-E591B20BF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E76:E79</xm:sqref>
        </x14:conditionalFormatting>
        <x14:conditionalFormatting xmlns:xm="http://schemas.microsoft.com/office/excel/2006/main">
          <x14:cfRule type="dataBar" id="{E53D1FCB-5B08-BA4A-979A-7A3719B845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4BBE07-3E9C-9446-84DF-DC222079A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E82:E85</xm:sqref>
        </x14:conditionalFormatting>
        <x14:conditionalFormatting xmlns:xm="http://schemas.microsoft.com/office/excel/2006/main">
          <x14:cfRule type="dataBar" id="{E0BD939A-8B73-2044-8101-97A3D92152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4792F-886F-AD46-B0D1-81B1425723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E88:E91</xm:sqref>
        </x14:conditionalFormatting>
        <x14:conditionalFormatting xmlns:xm="http://schemas.microsoft.com/office/excel/2006/main">
          <x14:cfRule type="dataBar" id="{48D55EA9-4D37-F743-9ED7-BB69C10AD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40EAEC-A8F5-C747-A6D5-30D3E6343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E4:E7 E10:E13 E16:E19 E22:E25 E28:E31 E34:E37 E40:E43 E46:E49 E52:E55 E58:E61 E64:E67 E70:E73 E76:E79 E82:E85 E88:E91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F3FF-518A-174C-91E7-595090B80642}">
  <dimension ref="B3:N19"/>
  <sheetViews>
    <sheetView showGridLines="0" tabSelected="1" zoomScale="118" workbookViewId="0">
      <selection activeCell="H18" sqref="H18"/>
    </sheetView>
  </sheetViews>
  <sheetFormatPr baseColWidth="10" defaultRowHeight="15"/>
  <cols>
    <col min="4" max="4" width="28.83203125" customWidth="1"/>
    <col min="5" max="5" width="11" customWidth="1"/>
    <col min="9" max="9" width="12.5" bestFit="1" customWidth="1"/>
    <col min="12" max="12" width="10.83203125" customWidth="1"/>
  </cols>
  <sheetData>
    <row r="3" spans="2:14" ht="16" thickBot="1">
      <c r="E3" s="8"/>
      <c r="F3" s="211"/>
      <c r="G3" s="211"/>
      <c r="H3" s="211"/>
      <c r="I3" s="211"/>
      <c r="J3" s="8"/>
      <c r="K3" s="8"/>
      <c r="L3" s="8"/>
    </row>
    <row r="4" spans="2:14" ht="64" customHeight="1">
      <c r="B4" s="49" t="s">
        <v>134</v>
      </c>
      <c r="C4" s="49" t="s">
        <v>133</v>
      </c>
      <c r="D4" s="71" t="s">
        <v>132</v>
      </c>
      <c r="E4" s="74" t="s">
        <v>145</v>
      </c>
      <c r="F4" s="77" t="s">
        <v>140</v>
      </c>
      <c r="G4" s="78" t="s">
        <v>147</v>
      </c>
      <c r="H4" s="78" t="s">
        <v>146</v>
      </c>
      <c r="I4" s="79" t="s">
        <v>141</v>
      </c>
      <c r="J4" s="74" t="s">
        <v>142</v>
      </c>
      <c r="K4" s="74" t="s">
        <v>143</v>
      </c>
      <c r="L4" s="74" t="s">
        <v>144</v>
      </c>
      <c r="M4" s="9"/>
      <c r="N4" s="9"/>
    </row>
    <row r="5" spans="2:14" ht="25" customHeight="1">
      <c r="B5" s="52">
        <v>1</v>
      </c>
      <c r="C5" s="58" t="s">
        <v>139</v>
      </c>
      <c r="D5" s="72" t="s">
        <v>103</v>
      </c>
      <c r="E5" s="75">
        <v>0.1</v>
      </c>
      <c r="F5" s="80"/>
      <c r="G5" s="59">
        <v>0.4</v>
      </c>
      <c r="H5" s="59"/>
      <c r="I5" s="81"/>
      <c r="J5" s="88"/>
      <c r="K5" s="75">
        <v>0.3</v>
      </c>
      <c r="L5" s="75">
        <v>0.2</v>
      </c>
      <c r="M5" s="9"/>
      <c r="N5" s="13">
        <f t="shared" ref="N5:N18" si="0">SUM(E5:L5)</f>
        <v>1</v>
      </c>
    </row>
    <row r="6" spans="2:14" ht="25" customHeight="1">
      <c r="B6" s="52">
        <v>2</v>
      </c>
      <c r="C6" s="58" t="s">
        <v>139</v>
      </c>
      <c r="D6" s="72" t="s">
        <v>105</v>
      </c>
      <c r="E6" s="75">
        <v>0.1</v>
      </c>
      <c r="F6" s="80"/>
      <c r="G6" s="59"/>
      <c r="H6" s="59">
        <v>0.2</v>
      </c>
      <c r="I6" s="82">
        <v>0.4</v>
      </c>
      <c r="J6" s="88"/>
      <c r="K6" s="75">
        <v>0.3</v>
      </c>
      <c r="L6" s="88"/>
      <c r="M6" s="9"/>
      <c r="N6" s="13">
        <f t="shared" si="0"/>
        <v>1</v>
      </c>
    </row>
    <row r="7" spans="2:14" ht="25" customHeight="1">
      <c r="B7" s="52">
        <v>3</v>
      </c>
      <c r="C7" s="58" t="s">
        <v>139</v>
      </c>
      <c r="D7" s="72" t="s">
        <v>108</v>
      </c>
      <c r="E7" s="75">
        <v>0.1</v>
      </c>
      <c r="F7" s="80"/>
      <c r="G7" s="59">
        <v>0.1</v>
      </c>
      <c r="H7" s="59">
        <v>0.3</v>
      </c>
      <c r="I7" s="81"/>
      <c r="J7" s="88"/>
      <c r="K7" s="75">
        <v>0.3</v>
      </c>
      <c r="L7" s="75">
        <v>0.2</v>
      </c>
      <c r="M7" s="9"/>
      <c r="N7" s="13">
        <f t="shared" si="0"/>
        <v>1</v>
      </c>
    </row>
    <row r="8" spans="2:14" ht="25" customHeight="1">
      <c r="B8" s="52">
        <v>4</v>
      </c>
      <c r="C8" s="58" t="s">
        <v>139</v>
      </c>
      <c r="D8" s="72" t="s">
        <v>111</v>
      </c>
      <c r="E8" s="75">
        <v>0.1</v>
      </c>
      <c r="F8" s="80"/>
      <c r="G8" s="52"/>
      <c r="H8" s="59">
        <v>0.1</v>
      </c>
      <c r="I8" s="82">
        <v>0.3</v>
      </c>
      <c r="J8" s="88"/>
      <c r="K8" s="75">
        <v>0.3</v>
      </c>
      <c r="L8" s="75">
        <v>0.2</v>
      </c>
      <c r="M8" s="9"/>
      <c r="N8" s="13">
        <f t="shared" si="0"/>
        <v>1</v>
      </c>
    </row>
    <row r="9" spans="2:14" ht="25" customHeight="1">
      <c r="B9" s="52">
        <v>5</v>
      </c>
      <c r="C9" s="58" t="s">
        <v>139</v>
      </c>
      <c r="D9" s="73" t="s">
        <v>116</v>
      </c>
      <c r="E9" s="75">
        <v>0.1</v>
      </c>
      <c r="F9" s="80"/>
      <c r="G9" s="59">
        <v>0.4</v>
      </c>
      <c r="H9" s="59"/>
      <c r="I9" s="81"/>
      <c r="J9" s="88"/>
      <c r="K9" s="75">
        <v>0.3</v>
      </c>
      <c r="L9" s="75">
        <v>0.2</v>
      </c>
      <c r="M9" s="9"/>
      <c r="N9" s="13">
        <f t="shared" si="0"/>
        <v>1</v>
      </c>
    </row>
    <row r="10" spans="2:14" ht="25" customHeight="1">
      <c r="B10" s="52">
        <v>6</v>
      </c>
      <c r="C10" s="58" t="s">
        <v>138</v>
      </c>
      <c r="D10" s="72" t="s">
        <v>117</v>
      </c>
      <c r="E10" s="75">
        <v>0.1</v>
      </c>
      <c r="F10" s="80"/>
      <c r="G10" s="59">
        <v>0.2</v>
      </c>
      <c r="H10" s="59">
        <v>0.4</v>
      </c>
      <c r="I10" s="81"/>
      <c r="J10" s="88"/>
      <c r="K10" s="75">
        <v>0.3</v>
      </c>
      <c r="L10" s="88"/>
      <c r="M10" s="9"/>
      <c r="N10" s="13">
        <f t="shared" si="0"/>
        <v>1</v>
      </c>
    </row>
    <row r="11" spans="2:14" ht="25" customHeight="1">
      <c r="B11" s="52">
        <v>7</v>
      </c>
      <c r="C11" s="60" t="s">
        <v>137</v>
      </c>
      <c r="D11" s="72" t="s">
        <v>104</v>
      </c>
      <c r="E11" s="75">
        <v>0.1</v>
      </c>
      <c r="F11" s="80"/>
      <c r="G11" s="59">
        <v>0.4</v>
      </c>
      <c r="H11" s="59"/>
      <c r="I11" s="81"/>
      <c r="J11" s="88"/>
      <c r="K11" s="75">
        <v>0.3</v>
      </c>
      <c r="L11" s="75">
        <v>0.2</v>
      </c>
      <c r="M11" s="9"/>
      <c r="N11" s="13">
        <f t="shared" si="0"/>
        <v>1</v>
      </c>
    </row>
    <row r="12" spans="2:14" ht="25" customHeight="1">
      <c r="B12" s="52">
        <v>8</v>
      </c>
      <c r="C12" s="60" t="s">
        <v>137</v>
      </c>
      <c r="D12" s="72" t="s">
        <v>106</v>
      </c>
      <c r="E12" s="75">
        <v>0.1</v>
      </c>
      <c r="F12" s="80"/>
      <c r="G12" s="52"/>
      <c r="H12" s="59">
        <v>0.3</v>
      </c>
      <c r="I12" s="81"/>
      <c r="J12" s="75">
        <v>0.2</v>
      </c>
      <c r="K12" s="75">
        <v>0.2</v>
      </c>
      <c r="L12" s="75">
        <v>0.2</v>
      </c>
      <c r="M12" s="9"/>
      <c r="N12" s="13">
        <f t="shared" si="0"/>
        <v>1</v>
      </c>
    </row>
    <row r="13" spans="2:14" ht="25" customHeight="1">
      <c r="B13" s="52">
        <v>9</v>
      </c>
      <c r="C13" s="60" t="s">
        <v>137</v>
      </c>
      <c r="D13" s="72" t="s">
        <v>110</v>
      </c>
      <c r="E13" s="75">
        <v>0.1</v>
      </c>
      <c r="F13" s="80"/>
      <c r="G13" s="59">
        <v>0.1</v>
      </c>
      <c r="H13" s="59">
        <v>0.3</v>
      </c>
      <c r="I13" s="81"/>
      <c r="J13" s="88"/>
      <c r="K13" s="75">
        <v>0.3</v>
      </c>
      <c r="L13" s="75">
        <v>0.2</v>
      </c>
      <c r="M13" s="9"/>
      <c r="N13" s="13">
        <f>SUM(E13:L13)</f>
        <v>1</v>
      </c>
    </row>
    <row r="14" spans="2:14" ht="25" customHeight="1">
      <c r="B14" s="52">
        <v>10</v>
      </c>
      <c r="C14" s="60" t="s">
        <v>137</v>
      </c>
      <c r="D14" s="72" t="s">
        <v>112</v>
      </c>
      <c r="E14" s="75">
        <v>0.1</v>
      </c>
      <c r="F14" s="80"/>
      <c r="G14" s="59">
        <v>0.4</v>
      </c>
      <c r="H14" s="59"/>
      <c r="I14" s="81"/>
      <c r="J14" s="75">
        <v>0.2</v>
      </c>
      <c r="K14" s="75">
        <v>0.1</v>
      </c>
      <c r="L14" s="75">
        <v>0.2</v>
      </c>
      <c r="M14" s="9"/>
      <c r="N14" s="13">
        <f>SUM(E14:L14)</f>
        <v>1</v>
      </c>
    </row>
    <row r="15" spans="2:14" ht="25" customHeight="1">
      <c r="B15" s="52">
        <v>11</v>
      </c>
      <c r="C15" s="61" t="s">
        <v>136</v>
      </c>
      <c r="D15" s="72" t="s">
        <v>107</v>
      </c>
      <c r="E15" s="75">
        <v>0.1</v>
      </c>
      <c r="F15" s="83">
        <v>0.1</v>
      </c>
      <c r="G15" s="59">
        <v>0.2</v>
      </c>
      <c r="H15" s="59"/>
      <c r="I15" s="81"/>
      <c r="J15" s="75">
        <v>0.2</v>
      </c>
      <c r="K15" s="75">
        <v>0.1</v>
      </c>
      <c r="L15" s="75">
        <v>0.3</v>
      </c>
      <c r="M15" s="9"/>
      <c r="N15" s="13">
        <f t="shared" si="0"/>
        <v>1</v>
      </c>
    </row>
    <row r="16" spans="2:14" ht="25" customHeight="1">
      <c r="B16" s="52">
        <v>12</v>
      </c>
      <c r="C16" s="61" t="s">
        <v>136</v>
      </c>
      <c r="D16" s="72" t="s">
        <v>109</v>
      </c>
      <c r="E16" s="75">
        <v>0.1</v>
      </c>
      <c r="F16" s="83">
        <v>0.1</v>
      </c>
      <c r="G16" s="59">
        <v>0.2</v>
      </c>
      <c r="H16" s="59"/>
      <c r="I16" s="81"/>
      <c r="J16" s="75">
        <v>0.2</v>
      </c>
      <c r="K16" s="75">
        <v>0.1</v>
      </c>
      <c r="L16" s="75">
        <v>0.3</v>
      </c>
      <c r="M16" s="9"/>
      <c r="N16" s="13">
        <f t="shared" si="0"/>
        <v>1</v>
      </c>
    </row>
    <row r="17" spans="2:14" ht="25" customHeight="1">
      <c r="B17" s="52">
        <v>15</v>
      </c>
      <c r="C17" s="61" t="s">
        <v>136</v>
      </c>
      <c r="D17" s="72" t="s">
        <v>115</v>
      </c>
      <c r="E17" s="75">
        <v>0.1</v>
      </c>
      <c r="F17" s="83">
        <v>0.1</v>
      </c>
      <c r="G17" s="59">
        <v>0.2</v>
      </c>
      <c r="H17" s="59"/>
      <c r="I17" s="81"/>
      <c r="J17" s="75">
        <v>0.2</v>
      </c>
      <c r="K17" s="75">
        <v>0.1</v>
      </c>
      <c r="L17" s="75">
        <v>0.3</v>
      </c>
      <c r="M17" s="9"/>
      <c r="N17" s="13">
        <f t="shared" si="0"/>
        <v>1</v>
      </c>
    </row>
    <row r="18" spans="2:14" ht="25" customHeight="1">
      <c r="B18" s="52">
        <v>13</v>
      </c>
      <c r="C18" s="61" t="s">
        <v>135</v>
      </c>
      <c r="D18" s="73" t="s">
        <v>113</v>
      </c>
      <c r="E18" s="75">
        <v>0.1</v>
      </c>
      <c r="F18" s="83">
        <v>0.3</v>
      </c>
      <c r="G18" s="59"/>
      <c r="H18" s="52"/>
      <c r="I18" s="81"/>
      <c r="J18" s="75">
        <v>0.2</v>
      </c>
      <c r="K18" s="75">
        <v>0.1</v>
      </c>
      <c r="L18" s="75">
        <v>0.3</v>
      </c>
      <c r="M18" s="9"/>
      <c r="N18" s="13">
        <f t="shared" si="0"/>
        <v>1</v>
      </c>
    </row>
    <row r="19" spans="2:14" ht="25" customHeight="1" thickBot="1">
      <c r="B19" s="52">
        <v>14</v>
      </c>
      <c r="C19" s="61" t="s">
        <v>135</v>
      </c>
      <c r="D19" s="72" t="s">
        <v>114</v>
      </c>
      <c r="E19" s="76">
        <v>0.1</v>
      </c>
      <c r="F19" s="84">
        <v>0.3</v>
      </c>
      <c r="G19" s="85"/>
      <c r="H19" s="86"/>
      <c r="I19" s="87"/>
      <c r="J19" s="76">
        <v>0.2</v>
      </c>
      <c r="K19" s="76">
        <v>0.1</v>
      </c>
      <c r="L19" s="76">
        <v>0.3</v>
      </c>
      <c r="M19" s="9"/>
      <c r="N19" s="13">
        <f>SUM(E19:L19)</f>
        <v>1</v>
      </c>
    </row>
  </sheetData>
  <mergeCells count="1">
    <mergeCell ref="F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EF9C-4B06-F443-88DC-1319021F3B00}">
  <dimension ref="B3:H20"/>
  <sheetViews>
    <sheetView showGridLines="0" zoomScale="123" workbookViewId="0">
      <selection activeCell="E18" sqref="E18"/>
    </sheetView>
  </sheetViews>
  <sheetFormatPr baseColWidth="10" defaultRowHeight="15"/>
  <cols>
    <col min="2" max="2" width="5.83203125" customWidth="1"/>
    <col min="3" max="3" width="16.83203125" customWidth="1"/>
    <col min="4" max="4" width="79.6640625" bestFit="1" customWidth="1"/>
    <col min="5" max="5" width="16.5" customWidth="1"/>
    <col min="6" max="6" width="11.1640625" customWidth="1"/>
    <col min="7" max="7" width="63.6640625" customWidth="1"/>
    <col min="8" max="8" width="24" bestFit="1" customWidth="1"/>
  </cols>
  <sheetData>
    <row r="3" spans="2:8" ht="49" customHeight="1">
      <c r="B3" s="48"/>
      <c r="C3" s="49" t="s">
        <v>148</v>
      </c>
      <c r="D3" s="49" t="s">
        <v>149</v>
      </c>
      <c r="E3" s="49" t="s">
        <v>150</v>
      </c>
      <c r="F3" s="49" t="s">
        <v>151</v>
      </c>
      <c r="G3" s="49" t="s">
        <v>152</v>
      </c>
      <c r="H3" s="49" t="s">
        <v>153</v>
      </c>
    </row>
    <row r="4" spans="2:8">
      <c r="B4" s="50">
        <v>1</v>
      </c>
      <c r="C4" s="68" t="s">
        <v>154</v>
      </c>
      <c r="D4" s="48" t="s">
        <v>184</v>
      </c>
      <c r="E4" s="50" t="s">
        <v>155</v>
      </c>
      <c r="F4" s="50" t="s">
        <v>156</v>
      </c>
      <c r="G4" s="50" t="s">
        <v>157</v>
      </c>
      <c r="H4" s="50" t="s">
        <v>158</v>
      </c>
    </row>
    <row r="5" spans="2:8">
      <c r="B5" s="50">
        <v>2</v>
      </c>
      <c r="C5" s="69" t="s">
        <v>159</v>
      </c>
      <c r="D5" s="48" t="s">
        <v>185</v>
      </c>
      <c r="E5" s="50" t="s">
        <v>160</v>
      </c>
      <c r="F5" s="50" t="s">
        <v>156</v>
      </c>
      <c r="G5" s="50" t="s">
        <v>161</v>
      </c>
      <c r="H5" s="50"/>
    </row>
    <row r="6" spans="2:8">
      <c r="B6" s="50">
        <v>3</v>
      </c>
      <c r="C6" s="69" t="s">
        <v>162</v>
      </c>
      <c r="D6" s="48" t="s">
        <v>186</v>
      </c>
      <c r="E6" s="50" t="s">
        <v>163</v>
      </c>
      <c r="F6" s="50" t="s">
        <v>156</v>
      </c>
      <c r="G6" s="50" t="s">
        <v>164</v>
      </c>
      <c r="H6" s="50"/>
    </row>
    <row r="7" spans="2:8">
      <c r="B7" s="50">
        <v>4</v>
      </c>
      <c r="C7" s="68" t="s">
        <v>165</v>
      </c>
      <c r="D7" s="48" t="s">
        <v>187</v>
      </c>
      <c r="E7" s="50" t="s">
        <v>163</v>
      </c>
      <c r="F7" s="50" t="s">
        <v>156</v>
      </c>
      <c r="G7" s="50" t="s">
        <v>166</v>
      </c>
      <c r="H7" s="50" t="s">
        <v>158</v>
      </c>
    </row>
    <row r="8" spans="2:8">
      <c r="B8" s="50">
        <v>5</v>
      </c>
      <c r="C8" s="65" t="s">
        <v>167</v>
      </c>
      <c r="D8" s="48" t="s">
        <v>188</v>
      </c>
      <c r="E8" s="50" t="s">
        <v>168</v>
      </c>
      <c r="F8" s="50" t="s">
        <v>156</v>
      </c>
      <c r="G8" s="50"/>
      <c r="H8" s="50"/>
    </row>
    <row r="9" spans="2:8">
      <c r="B9" s="50">
        <v>6</v>
      </c>
      <c r="C9" s="69" t="s">
        <v>169</v>
      </c>
      <c r="D9" s="48" t="s">
        <v>189</v>
      </c>
      <c r="E9" s="50" t="s">
        <v>168</v>
      </c>
      <c r="F9" s="50" t="s">
        <v>156</v>
      </c>
      <c r="G9" s="50"/>
      <c r="H9" s="50"/>
    </row>
    <row r="10" spans="2:8">
      <c r="B10" s="50">
        <v>7</v>
      </c>
      <c r="C10" s="65" t="s">
        <v>157</v>
      </c>
      <c r="D10" s="48"/>
      <c r="E10" s="50" t="s">
        <v>154</v>
      </c>
      <c r="F10" s="50" t="s">
        <v>156</v>
      </c>
      <c r="G10" s="50"/>
      <c r="H10" s="50" t="s">
        <v>170</v>
      </c>
    </row>
    <row r="11" spans="2:8">
      <c r="B11" s="50">
        <v>8</v>
      </c>
      <c r="C11" s="65" t="s">
        <v>164</v>
      </c>
      <c r="D11" s="51"/>
      <c r="E11" s="50" t="s">
        <v>162</v>
      </c>
      <c r="F11" s="50" t="s">
        <v>156</v>
      </c>
      <c r="G11" s="50"/>
      <c r="H11" s="50" t="s">
        <v>171</v>
      </c>
    </row>
    <row r="12" spans="2:8">
      <c r="B12" s="50">
        <v>9</v>
      </c>
      <c r="C12" s="65" t="s">
        <v>161</v>
      </c>
      <c r="D12" s="51"/>
      <c r="E12" s="50" t="s">
        <v>159</v>
      </c>
      <c r="F12" s="50" t="s">
        <v>156</v>
      </c>
      <c r="G12" s="50"/>
      <c r="H12" s="50" t="s">
        <v>172</v>
      </c>
    </row>
    <row r="13" spans="2:8">
      <c r="B13" s="50">
        <v>10</v>
      </c>
      <c r="C13" s="65" t="s">
        <v>173</v>
      </c>
      <c r="D13" s="48" t="s">
        <v>190</v>
      </c>
      <c r="E13" s="50" t="s">
        <v>163</v>
      </c>
      <c r="F13" s="50" t="s">
        <v>156</v>
      </c>
      <c r="G13" s="50"/>
      <c r="H13" s="50"/>
    </row>
    <row r="14" spans="2:8">
      <c r="B14" s="50">
        <v>11</v>
      </c>
      <c r="C14" s="65" t="s">
        <v>174</v>
      </c>
      <c r="D14" s="48" t="s">
        <v>175</v>
      </c>
      <c r="E14" s="50" t="s">
        <v>163</v>
      </c>
      <c r="F14" s="50" t="s">
        <v>156</v>
      </c>
      <c r="G14" s="50"/>
      <c r="H14" s="50"/>
    </row>
    <row r="15" spans="2:8">
      <c r="B15" s="50">
        <v>12</v>
      </c>
      <c r="C15" s="65" t="s">
        <v>176</v>
      </c>
      <c r="D15" s="48" t="s">
        <v>177</v>
      </c>
      <c r="E15" s="50" t="s">
        <v>160</v>
      </c>
      <c r="F15" s="50" t="s">
        <v>156</v>
      </c>
      <c r="G15" s="50"/>
      <c r="H15" s="50"/>
    </row>
    <row r="16" spans="2:8">
      <c r="B16" s="50">
        <v>13</v>
      </c>
      <c r="C16" s="69" t="s">
        <v>178</v>
      </c>
      <c r="D16" s="48" t="s">
        <v>179</v>
      </c>
      <c r="E16" s="50" t="s">
        <v>163</v>
      </c>
      <c r="F16" s="50" t="s">
        <v>156</v>
      </c>
      <c r="G16" s="50"/>
      <c r="H16" s="50"/>
    </row>
    <row r="17" spans="2:8">
      <c r="B17" s="50">
        <v>14</v>
      </c>
      <c r="C17" s="69" t="s">
        <v>180</v>
      </c>
      <c r="D17" s="48" t="s">
        <v>179</v>
      </c>
      <c r="E17" s="50" t="s">
        <v>163</v>
      </c>
      <c r="F17" s="52" t="s">
        <v>156</v>
      </c>
      <c r="G17" s="50"/>
      <c r="H17" s="50"/>
    </row>
    <row r="18" spans="2:8" ht="32">
      <c r="B18" s="50">
        <v>15</v>
      </c>
      <c r="C18" s="70" t="s">
        <v>171</v>
      </c>
      <c r="D18" s="53" t="s">
        <v>192</v>
      </c>
      <c r="E18" s="52" t="s">
        <v>158</v>
      </c>
      <c r="F18" s="52" t="s">
        <v>156</v>
      </c>
      <c r="G18" s="54" t="s">
        <v>181</v>
      </c>
      <c r="H18" s="52" t="s">
        <v>158</v>
      </c>
    </row>
    <row r="19" spans="2:8" ht="16">
      <c r="B19" s="50">
        <v>16</v>
      </c>
      <c r="C19" s="70" t="s">
        <v>172</v>
      </c>
      <c r="D19" s="55" t="s">
        <v>191</v>
      </c>
      <c r="E19" s="52" t="s">
        <v>163</v>
      </c>
      <c r="F19" s="52" t="s">
        <v>156</v>
      </c>
      <c r="G19" s="56" t="s">
        <v>182</v>
      </c>
      <c r="H19" s="52" t="s">
        <v>158</v>
      </c>
    </row>
    <row r="20" spans="2:8" ht="32">
      <c r="B20" s="50">
        <v>17</v>
      </c>
      <c r="C20" s="70" t="s">
        <v>170</v>
      </c>
      <c r="D20" s="57" t="s">
        <v>193</v>
      </c>
      <c r="E20" s="52" t="s">
        <v>158</v>
      </c>
      <c r="F20" s="52" t="s">
        <v>156</v>
      </c>
      <c r="G20" s="54" t="s">
        <v>183</v>
      </c>
      <c r="H20" s="52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4198-95D9-2548-9A0E-47008158245A}">
  <dimension ref="B3:K20"/>
  <sheetViews>
    <sheetView showGridLines="0" topLeftCell="B1" zoomScale="125" workbookViewId="0">
      <selection activeCell="H28" sqref="H28"/>
    </sheetView>
  </sheetViews>
  <sheetFormatPr baseColWidth="10" defaultRowHeight="15"/>
  <cols>
    <col min="5" max="5" width="17.1640625" customWidth="1"/>
    <col min="6" max="6" width="17.33203125" customWidth="1"/>
    <col min="7" max="7" width="25.83203125" customWidth="1"/>
    <col min="8" max="8" width="23" customWidth="1"/>
    <col min="10" max="10" width="37.6640625" customWidth="1"/>
    <col min="11" max="11" width="17.83203125" customWidth="1"/>
  </cols>
  <sheetData>
    <row r="3" spans="2:11">
      <c r="B3" s="100" t="s">
        <v>194</v>
      </c>
      <c r="C3" s="100" t="s">
        <v>195</v>
      </c>
      <c r="D3" s="100" t="s">
        <v>196</v>
      </c>
      <c r="E3" s="100" t="s">
        <v>197</v>
      </c>
      <c r="F3" s="100" t="s">
        <v>148</v>
      </c>
      <c r="G3" s="100" t="s">
        <v>198</v>
      </c>
      <c r="H3" s="100" t="s">
        <v>199</v>
      </c>
      <c r="I3" s="100" t="s">
        <v>200</v>
      </c>
      <c r="J3" s="100" t="s">
        <v>201</v>
      </c>
      <c r="K3" s="100" t="s">
        <v>202</v>
      </c>
    </row>
    <row r="4" spans="2:11">
      <c r="B4" s="101" t="s">
        <v>134</v>
      </c>
      <c r="C4" s="101" t="s">
        <v>203</v>
      </c>
      <c r="D4" s="101" t="s">
        <v>204</v>
      </c>
      <c r="E4" s="101" t="s">
        <v>205</v>
      </c>
      <c r="F4" s="101" t="s">
        <v>154</v>
      </c>
      <c r="G4" s="101" t="s">
        <v>206</v>
      </c>
      <c r="H4" s="101" t="s">
        <v>115</v>
      </c>
      <c r="I4" s="101" t="s">
        <v>207</v>
      </c>
      <c r="J4" s="101" t="s">
        <v>208</v>
      </c>
      <c r="K4" s="101" t="s">
        <v>209</v>
      </c>
    </row>
    <row r="5" spans="2:11">
      <c r="B5" s="101" t="s">
        <v>134</v>
      </c>
      <c r="C5" s="101" t="s">
        <v>210</v>
      </c>
      <c r="D5" s="101" t="s">
        <v>211</v>
      </c>
      <c r="E5" s="101" t="s">
        <v>212</v>
      </c>
      <c r="F5" s="101" t="s">
        <v>180</v>
      </c>
      <c r="G5" s="101" t="s">
        <v>206</v>
      </c>
      <c r="H5" s="101" t="s">
        <v>104</v>
      </c>
      <c r="I5" s="101" t="s">
        <v>207</v>
      </c>
      <c r="J5" s="101" t="s">
        <v>213</v>
      </c>
      <c r="K5" s="101" t="s">
        <v>141</v>
      </c>
    </row>
    <row r="6" spans="2:11">
      <c r="B6" s="101" t="s">
        <v>134</v>
      </c>
      <c r="C6" s="101" t="s">
        <v>214</v>
      </c>
      <c r="D6" s="101" t="s">
        <v>215</v>
      </c>
      <c r="E6" s="101" t="s">
        <v>216</v>
      </c>
      <c r="F6" s="101" t="s">
        <v>169</v>
      </c>
      <c r="G6" s="101" t="s">
        <v>217</v>
      </c>
      <c r="H6" s="101" t="s">
        <v>110</v>
      </c>
      <c r="I6" s="101" t="s">
        <v>207</v>
      </c>
      <c r="J6" s="101" t="s">
        <v>213</v>
      </c>
      <c r="K6" s="101" t="s">
        <v>141</v>
      </c>
    </row>
    <row r="7" spans="2:11">
      <c r="B7" s="101" t="s">
        <v>134</v>
      </c>
      <c r="C7" s="101" t="s">
        <v>218</v>
      </c>
      <c r="D7" s="101" t="s">
        <v>219</v>
      </c>
      <c r="E7" s="101" t="s">
        <v>220</v>
      </c>
      <c r="F7" s="101" t="s">
        <v>178</v>
      </c>
      <c r="G7" s="101" t="s">
        <v>206</v>
      </c>
      <c r="H7" s="101" t="s">
        <v>104</v>
      </c>
      <c r="I7" s="101" t="s">
        <v>207</v>
      </c>
      <c r="J7" s="101" t="s">
        <v>213</v>
      </c>
      <c r="K7" s="101" t="s">
        <v>141</v>
      </c>
    </row>
    <row r="8" spans="2:11">
      <c r="B8" s="101" t="s">
        <v>134</v>
      </c>
      <c r="C8" s="101" t="s">
        <v>221</v>
      </c>
      <c r="D8" s="101" t="s">
        <v>222</v>
      </c>
      <c r="E8" s="101" t="s">
        <v>223</v>
      </c>
      <c r="F8" s="101" t="s">
        <v>171</v>
      </c>
      <c r="G8" s="101" t="s">
        <v>206</v>
      </c>
      <c r="H8" s="101" t="s">
        <v>113</v>
      </c>
      <c r="I8" s="101" t="s">
        <v>207</v>
      </c>
      <c r="J8" s="101" t="s">
        <v>208</v>
      </c>
      <c r="K8" s="101" t="s">
        <v>224</v>
      </c>
    </row>
    <row r="9" spans="2:11">
      <c r="B9" s="101" t="s">
        <v>134</v>
      </c>
      <c r="C9" s="101" t="s">
        <v>225</v>
      </c>
      <c r="D9" s="101" t="s">
        <v>226</v>
      </c>
      <c r="E9" s="101" t="s">
        <v>227</v>
      </c>
      <c r="F9" s="101" t="s">
        <v>170</v>
      </c>
      <c r="G9" s="101" t="s">
        <v>206</v>
      </c>
      <c r="H9" s="101" t="s">
        <v>114</v>
      </c>
      <c r="I9" s="101" t="s">
        <v>207</v>
      </c>
      <c r="J9" s="101" t="s">
        <v>208</v>
      </c>
      <c r="K9" s="101" t="s">
        <v>224</v>
      </c>
    </row>
    <row r="10" spans="2:11">
      <c r="B10" s="101" t="s">
        <v>134</v>
      </c>
      <c r="C10" s="101" t="s">
        <v>228</v>
      </c>
      <c r="D10" s="101" t="s">
        <v>229</v>
      </c>
      <c r="E10" s="101" t="s">
        <v>230</v>
      </c>
      <c r="F10" s="101" t="s">
        <v>172</v>
      </c>
      <c r="G10" s="101" t="s">
        <v>206</v>
      </c>
      <c r="H10" s="101" t="s">
        <v>107</v>
      </c>
      <c r="I10" s="101" t="s">
        <v>207</v>
      </c>
      <c r="J10" s="101" t="s">
        <v>208</v>
      </c>
      <c r="K10" s="101" t="s">
        <v>209</v>
      </c>
    </row>
    <row r="11" spans="2:11">
      <c r="B11" s="101" t="s">
        <v>134</v>
      </c>
      <c r="C11" s="101" t="s">
        <v>231</v>
      </c>
      <c r="D11" s="101" t="s">
        <v>226</v>
      </c>
      <c r="E11" s="101" t="s">
        <v>232</v>
      </c>
      <c r="F11" s="101" t="s">
        <v>159</v>
      </c>
      <c r="G11" s="101" t="s">
        <v>206</v>
      </c>
      <c r="H11" s="101" t="s">
        <v>106</v>
      </c>
      <c r="I11" s="101" t="s">
        <v>207</v>
      </c>
      <c r="J11" s="101" t="s">
        <v>213</v>
      </c>
      <c r="K11" s="101" t="s">
        <v>141</v>
      </c>
    </row>
    <row r="12" spans="2:11">
      <c r="B12" s="101" t="s">
        <v>134</v>
      </c>
      <c r="C12" s="101" t="s">
        <v>233</v>
      </c>
      <c r="D12" s="101" t="s">
        <v>234</v>
      </c>
      <c r="E12" s="101" t="s">
        <v>235</v>
      </c>
      <c r="F12" s="101" t="s">
        <v>165</v>
      </c>
      <c r="G12" s="101" t="s">
        <v>217</v>
      </c>
      <c r="H12" s="101" t="s">
        <v>109</v>
      </c>
      <c r="I12" s="101" t="s">
        <v>207</v>
      </c>
      <c r="J12" s="101" t="s">
        <v>208</v>
      </c>
      <c r="K12" s="101" t="s">
        <v>209</v>
      </c>
    </row>
    <row r="13" spans="2:11">
      <c r="B13" s="101" t="s">
        <v>134</v>
      </c>
      <c r="C13" s="101" t="s">
        <v>236</v>
      </c>
      <c r="D13" s="101" t="s">
        <v>237</v>
      </c>
      <c r="E13" s="101" t="s">
        <v>238</v>
      </c>
      <c r="F13" s="101" t="s">
        <v>162</v>
      </c>
      <c r="G13" s="101" t="s">
        <v>206</v>
      </c>
      <c r="H13" s="101" t="s">
        <v>112</v>
      </c>
      <c r="I13" s="101" t="s">
        <v>207</v>
      </c>
      <c r="J13" s="101" t="s">
        <v>213</v>
      </c>
      <c r="K13" s="101" t="s">
        <v>141</v>
      </c>
    </row>
    <row r="14" spans="2:11">
      <c r="B14" s="101" t="s">
        <v>134</v>
      </c>
      <c r="C14" s="101" t="s">
        <v>239</v>
      </c>
      <c r="D14" s="101" t="s">
        <v>240</v>
      </c>
      <c r="E14" s="101" t="s">
        <v>241</v>
      </c>
      <c r="F14" s="101" t="s">
        <v>167</v>
      </c>
      <c r="G14" s="101" t="s">
        <v>217</v>
      </c>
      <c r="H14" s="101" t="s">
        <v>108</v>
      </c>
      <c r="I14" s="101" t="s">
        <v>207</v>
      </c>
      <c r="J14" s="101" t="s">
        <v>242</v>
      </c>
      <c r="K14" s="101" t="s">
        <v>243</v>
      </c>
    </row>
    <row r="15" spans="2:11">
      <c r="B15" s="101" t="s">
        <v>134</v>
      </c>
      <c r="C15" s="101" t="s">
        <v>244</v>
      </c>
      <c r="D15" s="101" t="s">
        <v>245</v>
      </c>
      <c r="E15" s="101" t="s">
        <v>246</v>
      </c>
      <c r="F15" s="101" t="s">
        <v>176</v>
      </c>
      <c r="G15" s="101" t="s">
        <v>206</v>
      </c>
      <c r="H15" s="101" t="s">
        <v>105</v>
      </c>
      <c r="I15" s="101" t="s">
        <v>207</v>
      </c>
      <c r="J15" s="101" t="s">
        <v>242</v>
      </c>
      <c r="K15" s="101" t="s">
        <v>243</v>
      </c>
    </row>
    <row r="16" spans="2:11">
      <c r="B16" s="101" t="s">
        <v>134</v>
      </c>
      <c r="C16" s="101" t="s">
        <v>247</v>
      </c>
      <c r="D16" s="101" t="s">
        <v>248</v>
      </c>
      <c r="E16" s="101" t="s">
        <v>249</v>
      </c>
      <c r="F16" s="101" t="s">
        <v>164</v>
      </c>
      <c r="G16" s="101" t="s">
        <v>206</v>
      </c>
      <c r="H16" s="101" t="s">
        <v>111</v>
      </c>
      <c r="I16" s="101" t="s">
        <v>207</v>
      </c>
      <c r="J16" s="101" t="s">
        <v>242</v>
      </c>
      <c r="K16" s="101" t="s">
        <v>243</v>
      </c>
    </row>
    <row r="17" spans="2:11">
      <c r="B17" s="101" t="s">
        <v>134</v>
      </c>
      <c r="C17" s="101" t="s">
        <v>250</v>
      </c>
      <c r="D17" s="101" t="s">
        <v>226</v>
      </c>
      <c r="E17" s="101" t="s">
        <v>251</v>
      </c>
      <c r="F17" s="101" t="s">
        <v>173</v>
      </c>
      <c r="G17" s="101" t="s">
        <v>206</v>
      </c>
      <c r="H17" s="101" t="s">
        <v>116</v>
      </c>
      <c r="I17" s="101" t="s">
        <v>207</v>
      </c>
      <c r="J17" s="101" t="s">
        <v>242</v>
      </c>
      <c r="K17" s="101" t="s">
        <v>243</v>
      </c>
    </row>
    <row r="18" spans="2:11">
      <c r="B18" s="101" t="s">
        <v>134</v>
      </c>
      <c r="C18" s="101" t="s">
        <v>252</v>
      </c>
      <c r="D18" s="101" t="s">
        <v>226</v>
      </c>
      <c r="E18" s="101" t="s">
        <v>253</v>
      </c>
      <c r="F18" s="101" t="s">
        <v>174</v>
      </c>
      <c r="G18" s="101" t="s">
        <v>206</v>
      </c>
      <c r="H18" s="101" t="s">
        <v>103</v>
      </c>
      <c r="I18" s="101" t="s">
        <v>207</v>
      </c>
      <c r="J18" s="101" t="s">
        <v>242</v>
      </c>
      <c r="K18" s="101" t="s">
        <v>243</v>
      </c>
    </row>
    <row r="19" spans="2:11">
      <c r="B19" s="101" t="s">
        <v>134</v>
      </c>
      <c r="C19" s="101" t="s">
        <v>254</v>
      </c>
      <c r="D19" s="101" t="s">
        <v>255</v>
      </c>
      <c r="E19" s="101" t="s">
        <v>256</v>
      </c>
      <c r="F19" s="101" t="s">
        <v>161</v>
      </c>
      <c r="G19" s="101" t="s">
        <v>206</v>
      </c>
      <c r="H19" s="101" t="s">
        <v>105</v>
      </c>
      <c r="I19" s="101" t="s">
        <v>207</v>
      </c>
      <c r="J19" s="101" t="s">
        <v>242</v>
      </c>
      <c r="K19" s="101" t="s">
        <v>243</v>
      </c>
    </row>
    <row r="20" spans="2:11">
      <c r="B20" s="101" t="s">
        <v>134</v>
      </c>
      <c r="C20" s="101" t="s">
        <v>257</v>
      </c>
      <c r="D20" s="101" t="s">
        <v>258</v>
      </c>
      <c r="E20" s="101" t="s">
        <v>259</v>
      </c>
      <c r="F20" s="101" t="s">
        <v>157</v>
      </c>
      <c r="G20" s="101" t="s">
        <v>206</v>
      </c>
      <c r="H20" s="101" t="s">
        <v>117</v>
      </c>
      <c r="I20" s="101" t="s">
        <v>207</v>
      </c>
      <c r="J20" s="101" t="s">
        <v>242</v>
      </c>
      <c r="K20" s="1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SLM-Core competencies</vt:lpstr>
      <vt:lpstr>Requirement</vt:lpstr>
      <vt:lpstr>360</vt:lpstr>
      <vt:lpstr>Evaluators</vt:lpstr>
      <vt:lpstr>Employee names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Oyun-Undraa MMS</dc:creator>
  <cp:lastModifiedBy>Microsoft Office User</cp:lastModifiedBy>
  <cp:lastPrinted>2023-03-14T03:55:36Z</cp:lastPrinted>
  <dcterms:created xsi:type="dcterms:W3CDTF">2023-03-14T02:11:30Z</dcterms:created>
  <dcterms:modified xsi:type="dcterms:W3CDTF">2025-01-08T04:01:36Z</dcterms:modified>
</cp:coreProperties>
</file>